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/>
  </mc:AlternateContent>
  <xr:revisionPtr revIDLastSave="0" documentId="13_ncr:1_{26125C03-E296-45E5-BAE3-841164B94F44}" xr6:coauthVersionLast="47" xr6:coauthVersionMax="47" xr10:uidLastSave="{00000000-0000-0000-0000-000000000000}"/>
  <bookViews>
    <workbookView xWindow="-108" yWindow="-108" windowWidth="23256" windowHeight="13896" xr2:uid="{BF9481DD-EFC8-43A2-950A-FE331F47C0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5" i="1" l="1"/>
  <c r="Y25" i="1" s="1"/>
  <c r="R45" i="1"/>
  <c r="W45" i="1" s="1"/>
  <c r="S73" i="1"/>
  <c r="X73" i="1" s="1"/>
  <c r="S81" i="1"/>
  <c r="X81" i="1" s="1"/>
  <c r="T81" i="1"/>
  <c r="Y81" i="1" s="1"/>
  <c r="Y85" i="1"/>
  <c r="S88" i="1"/>
  <c r="X88" i="1" s="1"/>
  <c r="S108" i="1"/>
  <c r="X108" i="1" s="1"/>
  <c r="R121" i="1"/>
  <c r="W121" i="1" s="1"/>
  <c r="S121" i="1"/>
  <c r="X121" i="1" s="1"/>
  <c r="T121" i="1"/>
  <c r="Y121" i="1" s="1"/>
  <c r="S133" i="1"/>
  <c r="X133" i="1"/>
  <c r="T137" i="1"/>
  <c r="Y137" i="1"/>
  <c r="S156" i="1"/>
  <c r="X156" i="1" s="1"/>
  <c r="W179" i="1"/>
  <c r="X179" i="1"/>
  <c r="R180" i="1"/>
  <c r="W180" i="1" s="1"/>
  <c r="S182" i="1"/>
  <c r="X182" i="1" s="1"/>
  <c r="T182" i="1"/>
  <c r="Y182" i="1" s="1"/>
  <c r="T198" i="1"/>
  <c r="Y198" i="1" s="1"/>
  <c r="Y210" i="1"/>
  <c r="W212" i="1"/>
  <c r="Y214" i="1"/>
  <c r="R215" i="1"/>
  <c r="W215" i="1" s="1"/>
  <c r="S215" i="1"/>
  <c r="X215" i="1" s="1"/>
  <c r="R223" i="1"/>
  <c r="W223" i="1" s="1"/>
  <c r="O219" i="1"/>
  <c r="Q219" i="1" s="1"/>
  <c r="V219" i="1" s="1"/>
  <c r="I161" i="1"/>
  <c r="J161" i="1"/>
  <c r="K161" i="1"/>
  <c r="L161" i="1"/>
  <c r="S161" i="1" s="1"/>
  <c r="X161" i="1" s="1"/>
  <c r="M161" i="1"/>
  <c r="I162" i="1"/>
  <c r="J162" i="1"/>
  <c r="K162" i="1"/>
  <c r="L162" i="1"/>
  <c r="S162" i="1" s="1"/>
  <c r="X162" i="1" s="1"/>
  <c r="M162" i="1"/>
  <c r="I163" i="1"/>
  <c r="J163" i="1"/>
  <c r="K163" i="1"/>
  <c r="R163" i="1" s="1"/>
  <c r="W163" i="1" s="1"/>
  <c r="L163" i="1"/>
  <c r="S163" i="1" s="1"/>
  <c r="X163" i="1" s="1"/>
  <c r="M163" i="1"/>
  <c r="T163" i="1" s="1"/>
  <c r="Y163" i="1" s="1"/>
  <c r="I164" i="1"/>
  <c r="J164" i="1"/>
  <c r="K164" i="1"/>
  <c r="R164" i="1" s="1"/>
  <c r="W164" i="1" s="1"/>
  <c r="L164" i="1"/>
  <c r="S164" i="1" s="1"/>
  <c r="X164" i="1" s="1"/>
  <c r="M164" i="1"/>
  <c r="I165" i="1"/>
  <c r="J165" i="1"/>
  <c r="K165" i="1"/>
  <c r="R165" i="1" s="1"/>
  <c r="W165" i="1" s="1"/>
  <c r="L165" i="1"/>
  <c r="S165" i="1" s="1"/>
  <c r="X165" i="1" s="1"/>
  <c r="M165" i="1"/>
  <c r="I166" i="1"/>
  <c r="N166" i="1" s="1"/>
  <c r="P166" i="1" s="1"/>
  <c r="U166" i="1" s="1"/>
  <c r="J166" i="1"/>
  <c r="K166" i="1"/>
  <c r="R166" i="1" s="1"/>
  <c r="W166" i="1" s="1"/>
  <c r="L166" i="1"/>
  <c r="S166" i="1" s="1"/>
  <c r="X166" i="1" s="1"/>
  <c r="M166" i="1"/>
  <c r="I167" i="1"/>
  <c r="J167" i="1"/>
  <c r="K167" i="1"/>
  <c r="R167" i="1" s="1"/>
  <c r="W167" i="1" s="1"/>
  <c r="L167" i="1"/>
  <c r="S167" i="1" s="1"/>
  <c r="X167" i="1" s="1"/>
  <c r="M167" i="1"/>
  <c r="T167" i="1" s="1"/>
  <c r="Y167" i="1" s="1"/>
  <c r="I168" i="1"/>
  <c r="J168" i="1"/>
  <c r="K168" i="1"/>
  <c r="R168" i="1" s="1"/>
  <c r="W168" i="1" s="1"/>
  <c r="L168" i="1"/>
  <c r="S168" i="1" s="1"/>
  <c r="X168" i="1" s="1"/>
  <c r="M168" i="1"/>
  <c r="T168" i="1" s="1"/>
  <c r="Y168" i="1" s="1"/>
  <c r="I169" i="1"/>
  <c r="J169" i="1"/>
  <c r="K169" i="1"/>
  <c r="R169" i="1" s="1"/>
  <c r="W169" i="1" s="1"/>
  <c r="L169" i="1"/>
  <c r="S169" i="1" s="1"/>
  <c r="X169" i="1" s="1"/>
  <c r="M169" i="1"/>
  <c r="T169" i="1" s="1"/>
  <c r="Y169" i="1" s="1"/>
  <c r="I170" i="1"/>
  <c r="J170" i="1"/>
  <c r="K170" i="1"/>
  <c r="R170" i="1" s="1"/>
  <c r="W170" i="1" s="1"/>
  <c r="L170" i="1"/>
  <c r="S170" i="1" s="1"/>
  <c r="X170" i="1" s="1"/>
  <c r="M170" i="1"/>
  <c r="T170" i="1" s="1"/>
  <c r="Y170" i="1" s="1"/>
  <c r="I171" i="1"/>
  <c r="J171" i="1"/>
  <c r="O171" i="1" s="1"/>
  <c r="Q171" i="1" s="1"/>
  <c r="V171" i="1" s="1"/>
  <c r="K171" i="1"/>
  <c r="R171" i="1" s="1"/>
  <c r="W171" i="1" s="1"/>
  <c r="L171" i="1"/>
  <c r="S171" i="1" s="1"/>
  <c r="X171" i="1" s="1"/>
  <c r="M171" i="1"/>
  <c r="T171" i="1" s="1"/>
  <c r="Y171" i="1" s="1"/>
  <c r="I172" i="1"/>
  <c r="J172" i="1"/>
  <c r="K172" i="1"/>
  <c r="R172" i="1" s="1"/>
  <c r="W172" i="1" s="1"/>
  <c r="L172" i="1"/>
  <c r="S172" i="1" s="1"/>
  <c r="X172" i="1" s="1"/>
  <c r="M172" i="1"/>
  <c r="T172" i="1" s="1"/>
  <c r="Y172" i="1" s="1"/>
  <c r="I173" i="1"/>
  <c r="J173" i="1"/>
  <c r="K173" i="1"/>
  <c r="R173" i="1" s="1"/>
  <c r="W173" i="1" s="1"/>
  <c r="L173" i="1"/>
  <c r="S173" i="1" s="1"/>
  <c r="X173" i="1" s="1"/>
  <c r="M173" i="1"/>
  <c r="T173" i="1" s="1"/>
  <c r="Y173" i="1" s="1"/>
  <c r="I174" i="1"/>
  <c r="J174" i="1"/>
  <c r="K174" i="1"/>
  <c r="R174" i="1" s="1"/>
  <c r="W174" i="1" s="1"/>
  <c r="L174" i="1"/>
  <c r="S174" i="1" s="1"/>
  <c r="X174" i="1" s="1"/>
  <c r="M174" i="1"/>
  <c r="T174" i="1" s="1"/>
  <c r="Y174" i="1" s="1"/>
  <c r="I175" i="1"/>
  <c r="J175" i="1"/>
  <c r="K175" i="1"/>
  <c r="R175" i="1" s="1"/>
  <c r="W175" i="1" s="1"/>
  <c r="L175" i="1"/>
  <c r="S175" i="1" s="1"/>
  <c r="X175" i="1" s="1"/>
  <c r="M175" i="1"/>
  <c r="T175" i="1" s="1"/>
  <c r="Y175" i="1" s="1"/>
  <c r="I176" i="1"/>
  <c r="J176" i="1"/>
  <c r="K176" i="1"/>
  <c r="R176" i="1" s="1"/>
  <c r="W176" i="1" s="1"/>
  <c r="L176" i="1"/>
  <c r="S176" i="1" s="1"/>
  <c r="X176" i="1" s="1"/>
  <c r="M176" i="1"/>
  <c r="T176" i="1" s="1"/>
  <c r="Y176" i="1" s="1"/>
  <c r="I177" i="1"/>
  <c r="J177" i="1"/>
  <c r="K177" i="1"/>
  <c r="R177" i="1" s="1"/>
  <c r="W177" i="1" s="1"/>
  <c r="L177" i="1"/>
  <c r="S177" i="1" s="1"/>
  <c r="X177" i="1" s="1"/>
  <c r="M177" i="1"/>
  <c r="T177" i="1" s="1"/>
  <c r="Y177" i="1" s="1"/>
  <c r="I178" i="1"/>
  <c r="J178" i="1"/>
  <c r="K178" i="1"/>
  <c r="L178" i="1"/>
  <c r="S178" i="1" s="1"/>
  <c r="X178" i="1" s="1"/>
  <c r="M178" i="1"/>
  <c r="T178" i="1" s="1"/>
  <c r="Y178" i="1" s="1"/>
  <c r="I179" i="1"/>
  <c r="J179" i="1"/>
  <c r="K179" i="1"/>
  <c r="R179" i="1" s="1"/>
  <c r="L179" i="1"/>
  <c r="S179" i="1" s="1"/>
  <c r="M179" i="1"/>
  <c r="T179" i="1" s="1"/>
  <c r="Y179" i="1" s="1"/>
  <c r="I180" i="1"/>
  <c r="J180" i="1"/>
  <c r="K180" i="1"/>
  <c r="O180" i="1" s="1"/>
  <c r="Q180" i="1" s="1"/>
  <c r="V180" i="1" s="1"/>
  <c r="L180" i="1"/>
  <c r="S180" i="1" s="1"/>
  <c r="X180" i="1" s="1"/>
  <c r="M180" i="1"/>
  <c r="I181" i="1"/>
  <c r="J181" i="1"/>
  <c r="K181" i="1"/>
  <c r="R181" i="1" s="1"/>
  <c r="W181" i="1" s="1"/>
  <c r="L181" i="1"/>
  <c r="S181" i="1" s="1"/>
  <c r="X181" i="1" s="1"/>
  <c r="M181" i="1"/>
  <c r="I182" i="1"/>
  <c r="J182" i="1"/>
  <c r="K182" i="1"/>
  <c r="R182" i="1" s="1"/>
  <c r="W182" i="1" s="1"/>
  <c r="L182" i="1"/>
  <c r="M182" i="1"/>
  <c r="I183" i="1"/>
  <c r="J183" i="1"/>
  <c r="K183" i="1"/>
  <c r="R183" i="1" s="1"/>
  <c r="W183" i="1" s="1"/>
  <c r="L183" i="1"/>
  <c r="S183" i="1" s="1"/>
  <c r="X183" i="1" s="1"/>
  <c r="M183" i="1"/>
  <c r="I184" i="1"/>
  <c r="J184" i="1"/>
  <c r="K184" i="1"/>
  <c r="R184" i="1" s="1"/>
  <c r="W184" i="1" s="1"/>
  <c r="L184" i="1"/>
  <c r="S184" i="1" s="1"/>
  <c r="X184" i="1" s="1"/>
  <c r="M184" i="1"/>
  <c r="I185" i="1"/>
  <c r="J185" i="1"/>
  <c r="K185" i="1"/>
  <c r="R185" i="1" s="1"/>
  <c r="W185" i="1" s="1"/>
  <c r="L185" i="1"/>
  <c r="S185" i="1" s="1"/>
  <c r="X185" i="1" s="1"/>
  <c r="M185" i="1"/>
  <c r="I186" i="1"/>
  <c r="J186" i="1"/>
  <c r="K186" i="1"/>
  <c r="N186" i="1" s="1"/>
  <c r="P186" i="1" s="1"/>
  <c r="U186" i="1" s="1"/>
  <c r="L186" i="1"/>
  <c r="S186" i="1" s="1"/>
  <c r="X186" i="1" s="1"/>
  <c r="M186" i="1"/>
  <c r="T186" i="1" s="1"/>
  <c r="Y186" i="1" s="1"/>
  <c r="I187" i="1"/>
  <c r="J187" i="1"/>
  <c r="K187" i="1"/>
  <c r="R187" i="1" s="1"/>
  <c r="W187" i="1" s="1"/>
  <c r="L187" i="1"/>
  <c r="S187" i="1" s="1"/>
  <c r="X187" i="1" s="1"/>
  <c r="M187" i="1"/>
  <c r="T187" i="1" s="1"/>
  <c r="Y187" i="1" s="1"/>
  <c r="I188" i="1"/>
  <c r="J188" i="1"/>
  <c r="K188" i="1"/>
  <c r="R188" i="1" s="1"/>
  <c r="W188" i="1" s="1"/>
  <c r="L188" i="1"/>
  <c r="S188" i="1" s="1"/>
  <c r="X188" i="1" s="1"/>
  <c r="M188" i="1"/>
  <c r="I189" i="1"/>
  <c r="J189" i="1"/>
  <c r="K189" i="1"/>
  <c r="R189" i="1" s="1"/>
  <c r="W189" i="1" s="1"/>
  <c r="L189" i="1"/>
  <c r="S189" i="1" s="1"/>
  <c r="X189" i="1" s="1"/>
  <c r="M189" i="1"/>
  <c r="I190" i="1"/>
  <c r="J190" i="1"/>
  <c r="K190" i="1"/>
  <c r="R190" i="1" s="1"/>
  <c r="W190" i="1" s="1"/>
  <c r="L190" i="1"/>
  <c r="S190" i="1" s="1"/>
  <c r="X190" i="1" s="1"/>
  <c r="M190" i="1"/>
  <c r="T190" i="1" s="1"/>
  <c r="Y190" i="1" s="1"/>
  <c r="I191" i="1"/>
  <c r="J191" i="1"/>
  <c r="O191" i="1" s="1"/>
  <c r="Q191" i="1" s="1"/>
  <c r="V191" i="1" s="1"/>
  <c r="K191" i="1"/>
  <c r="R191" i="1" s="1"/>
  <c r="W191" i="1" s="1"/>
  <c r="L191" i="1"/>
  <c r="S191" i="1" s="1"/>
  <c r="X191" i="1" s="1"/>
  <c r="M191" i="1"/>
  <c r="T191" i="1" s="1"/>
  <c r="Y191" i="1" s="1"/>
  <c r="I192" i="1"/>
  <c r="J192" i="1"/>
  <c r="K192" i="1"/>
  <c r="R192" i="1" s="1"/>
  <c r="W192" i="1" s="1"/>
  <c r="L192" i="1"/>
  <c r="S192" i="1" s="1"/>
  <c r="X192" i="1" s="1"/>
  <c r="M192" i="1"/>
  <c r="I193" i="1"/>
  <c r="J193" i="1"/>
  <c r="K193" i="1"/>
  <c r="R193" i="1" s="1"/>
  <c r="W193" i="1" s="1"/>
  <c r="L193" i="1"/>
  <c r="S193" i="1" s="1"/>
  <c r="X193" i="1" s="1"/>
  <c r="M193" i="1"/>
  <c r="T193" i="1" s="1"/>
  <c r="Y193" i="1" s="1"/>
  <c r="I194" i="1"/>
  <c r="J194" i="1"/>
  <c r="K194" i="1"/>
  <c r="R194" i="1" s="1"/>
  <c r="W194" i="1" s="1"/>
  <c r="L194" i="1"/>
  <c r="S194" i="1" s="1"/>
  <c r="X194" i="1" s="1"/>
  <c r="M194" i="1"/>
  <c r="T194" i="1" s="1"/>
  <c r="Y194" i="1" s="1"/>
  <c r="I195" i="1"/>
  <c r="J195" i="1"/>
  <c r="O195" i="1" s="1"/>
  <c r="Q195" i="1" s="1"/>
  <c r="V195" i="1" s="1"/>
  <c r="K195" i="1"/>
  <c r="R195" i="1" s="1"/>
  <c r="W195" i="1" s="1"/>
  <c r="L195" i="1"/>
  <c r="S195" i="1" s="1"/>
  <c r="X195" i="1" s="1"/>
  <c r="M195" i="1"/>
  <c r="T195" i="1" s="1"/>
  <c r="Y195" i="1" s="1"/>
  <c r="I196" i="1"/>
  <c r="J196" i="1"/>
  <c r="K196" i="1"/>
  <c r="R196" i="1" s="1"/>
  <c r="W196" i="1" s="1"/>
  <c r="L196" i="1"/>
  <c r="S196" i="1" s="1"/>
  <c r="X196" i="1" s="1"/>
  <c r="M196" i="1"/>
  <c r="T196" i="1" s="1"/>
  <c r="Y196" i="1" s="1"/>
  <c r="I197" i="1"/>
  <c r="J197" i="1"/>
  <c r="K197" i="1"/>
  <c r="R197" i="1" s="1"/>
  <c r="W197" i="1" s="1"/>
  <c r="L197" i="1"/>
  <c r="S197" i="1" s="1"/>
  <c r="X197" i="1" s="1"/>
  <c r="M197" i="1"/>
  <c r="T197" i="1" s="1"/>
  <c r="Y197" i="1" s="1"/>
  <c r="I198" i="1"/>
  <c r="J198" i="1"/>
  <c r="K198" i="1"/>
  <c r="R198" i="1" s="1"/>
  <c r="W198" i="1" s="1"/>
  <c r="L198" i="1"/>
  <c r="S198" i="1" s="1"/>
  <c r="X198" i="1" s="1"/>
  <c r="M198" i="1"/>
  <c r="I199" i="1"/>
  <c r="J199" i="1"/>
  <c r="O199" i="1" s="1"/>
  <c r="Q199" i="1" s="1"/>
  <c r="V199" i="1" s="1"/>
  <c r="K199" i="1"/>
  <c r="R199" i="1" s="1"/>
  <c r="W199" i="1" s="1"/>
  <c r="L199" i="1"/>
  <c r="S199" i="1" s="1"/>
  <c r="X199" i="1" s="1"/>
  <c r="M199" i="1"/>
  <c r="T199" i="1" s="1"/>
  <c r="Y199" i="1" s="1"/>
  <c r="I200" i="1"/>
  <c r="J200" i="1"/>
  <c r="K200" i="1"/>
  <c r="R200" i="1" s="1"/>
  <c r="W200" i="1" s="1"/>
  <c r="L200" i="1"/>
  <c r="S200" i="1" s="1"/>
  <c r="X200" i="1" s="1"/>
  <c r="M200" i="1"/>
  <c r="I201" i="1"/>
  <c r="J201" i="1"/>
  <c r="K201" i="1"/>
  <c r="R201" i="1" s="1"/>
  <c r="W201" i="1" s="1"/>
  <c r="L201" i="1"/>
  <c r="S201" i="1" s="1"/>
  <c r="X201" i="1" s="1"/>
  <c r="M201" i="1"/>
  <c r="I202" i="1"/>
  <c r="J202" i="1"/>
  <c r="K202" i="1"/>
  <c r="R202" i="1" s="1"/>
  <c r="W202" i="1" s="1"/>
  <c r="L202" i="1"/>
  <c r="S202" i="1" s="1"/>
  <c r="X202" i="1" s="1"/>
  <c r="M202" i="1"/>
  <c r="T202" i="1" s="1"/>
  <c r="Y202" i="1" s="1"/>
  <c r="I203" i="1"/>
  <c r="J203" i="1"/>
  <c r="K203" i="1"/>
  <c r="R203" i="1" s="1"/>
  <c r="W203" i="1" s="1"/>
  <c r="L203" i="1"/>
  <c r="S203" i="1" s="1"/>
  <c r="X203" i="1" s="1"/>
  <c r="M203" i="1"/>
  <c r="I204" i="1"/>
  <c r="J204" i="1"/>
  <c r="K204" i="1"/>
  <c r="R204" i="1" s="1"/>
  <c r="W204" i="1" s="1"/>
  <c r="L204" i="1"/>
  <c r="S204" i="1" s="1"/>
  <c r="X204" i="1" s="1"/>
  <c r="M204" i="1"/>
  <c r="I205" i="1"/>
  <c r="J205" i="1"/>
  <c r="K205" i="1"/>
  <c r="R205" i="1" s="1"/>
  <c r="W205" i="1" s="1"/>
  <c r="L205" i="1"/>
  <c r="S205" i="1" s="1"/>
  <c r="X205" i="1" s="1"/>
  <c r="M205" i="1"/>
  <c r="I206" i="1"/>
  <c r="J206" i="1"/>
  <c r="K206" i="1"/>
  <c r="L206" i="1"/>
  <c r="S206" i="1" s="1"/>
  <c r="X206" i="1" s="1"/>
  <c r="M206" i="1"/>
  <c r="T206" i="1" s="1"/>
  <c r="Y206" i="1" s="1"/>
  <c r="I207" i="1"/>
  <c r="J207" i="1"/>
  <c r="K207" i="1"/>
  <c r="R207" i="1" s="1"/>
  <c r="W207" i="1" s="1"/>
  <c r="L207" i="1"/>
  <c r="S207" i="1" s="1"/>
  <c r="X207" i="1" s="1"/>
  <c r="M207" i="1"/>
  <c r="T207" i="1" s="1"/>
  <c r="Y207" i="1" s="1"/>
  <c r="I208" i="1"/>
  <c r="J208" i="1"/>
  <c r="K208" i="1"/>
  <c r="R208" i="1" s="1"/>
  <c r="W208" i="1" s="1"/>
  <c r="L208" i="1"/>
  <c r="S208" i="1" s="1"/>
  <c r="X208" i="1" s="1"/>
  <c r="M208" i="1"/>
  <c r="T208" i="1" s="1"/>
  <c r="Y208" i="1" s="1"/>
  <c r="I209" i="1"/>
  <c r="J209" i="1"/>
  <c r="K209" i="1"/>
  <c r="R209" i="1" s="1"/>
  <c r="W209" i="1" s="1"/>
  <c r="L209" i="1"/>
  <c r="S209" i="1" s="1"/>
  <c r="X209" i="1" s="1"/>
  <c r="M209" i="1"/>
  <c r="I210" i="1"/>
  <c r="J210" i="1"/>
  <c r="K210" i="1"/>
  <c r="R210" i="1" s="1"/>
  <c r="W210" i="1" s="1"/>
  <c r="L210" i="1"/>
  <c r="S210" i="1" s="1"/>
  <c r="X210" i="1" s="1"/>
  <c r="M210" i="1"/>
  <c r="T210" i="1" s="1"/>
  <c r="I211" i="1"/>
  <c r="J211" i="1"/>
  <c r="K211" i="1"/>
  <c r="R211" i="1" s="1"/>
  <c r="W211" i="1" s="1"/>
  <c r="L211" i="1"/>
  <c r="S211" i="1" s="1"/>
  <c r="X211" i="1" s="1"/>
  <c r="M211" i="1"/>
  <c r="T211" i="1" s="1"/>
  <c r="Y211" i="1" s="1"/>
  <c r="I212" i="1"/>
  <c r="J212" i="1"/>
  <c r="K212" i="1"/>
  <c r="R212" i="1" s="1"/>
  <c r="L212" i="1"/>
  <c r="S212" i="1" s="1"/>
  <c r="X212" i="1" s="1"/>
  <c r="M212" i="1"/>
  <c r="I213" i="1"/>
  <c r="J213" i="1"/>
  <c r="K213" i="1"/>
  <c r="R213" i="1" s="1"/>
  <c r="W213" i="1" s="1"/>
  <c r="L213" i="1"/>
  <c r="S213" i="1" s="1"/>
  <c r="X213" i="1" s="1"/>
  <c r="M213" i="1"/>
  <c r="I214" i="1"/>
  <c r="J214" i="1"/>
  <c r="K214" i="1"/>
  <c r="R214" i="1" s="1"/>
  <c r="W214" i="1" s="1"/>
  <c r="L214" i="1"/>
  <c r="S214" i="1" s="1"/>
  <c r="X214" i="1" s="1"/>
  <c r="M214" i="1"/>
  <c r="T214" i="1" s="1"/>
  <c r="I215" i="1"/>
  <c r="J215" i="1"/>
  <c r="K215" i="1"/>
  <c r="L215" i="1"/>
  <c r="M215" i="1"/>
  <c r="T215" i="1" s="1"/>
  <c r="Y215" i="1" s="1"/>
  <c r="I216" i="1"/>
  <c r="J216" i="1"/>
  <c r="K216" i="1"/>
  <c r="R216" i="1" s="1"/>
  <c r="W216" i="1" s="1"/>
  <c r="L216" i="1"/>
  <c r="S216" i="1" s="1"/>
  <c r="X216" i="1" s="1"/>
  <c r="M216" i="1"/>
  <c r="I217" i="1"/>
  <c r="J217" i="1"/>
  <c r="K217" i="1"/>
  <c r="R217" i="1" s="1"/>
  <c r="W217" i="1" s="1"/>
  <c r="L217" i="1"/>
  <c r="S217" i="1" s="1"/>
  <c r="X217" i="1" s="1"/>
  <c r="M217" i="1"/>
  <c r="I218" i="1"/>
  <c r="J218" i="1"/>
  <c r="K218" i="1"/>
  <c r="R218" i="1" s="1"/>
  <c r="W218" i="1" s="1"/>
  <c r="L218" i="1"/>
  <c r="S218" i="1" s="1"/>
  <c r="X218" i="1" s="1"/>
  <c r="M218" i="1"/>
  <c r="T218" i="1" s="1"/>
  <c r="Y218" i="1" s="1"/>
  <c r="I219" i="1"/>
  <c r="J219" i="1"/>
  <c r="K219" i="1"/>
  <c r="R219" i="1" s="1"/>
  <c r="W219" i="1" s="1"/>
  <c r="L219" i="1"/>
  <c r="S219" i="1" s="1"/>
  <c r="X219" i="1" s="1"/>
  <c r="M219" i="1"/>
  <c r="T219" i="1" s="1"/>
  <c r="Y219" i="1" s="1"/>
  <c r="I220" i="1"/>
  <c r="J220" i="1"/>
  <c r="K220" i="1"/>
  <c r="N220" i="1" s="1"/>
  <c r="P220" i="1" s="1"/>
  <c r="U220" i="1" s="1"/>
  <c r="L220" i="1"/>
  <c r="S220" i="1" s="1"/>
  <c r="X220" i="1" s="1"/>
  <c r="M220" i="1"/>
  <c r="I221" i="1"/>
  <c r="J221" i="1"/>
  <c r="K221" i="1"/>
  <c r="R221" i="1" s="1"/>
  <c r="W221" i="1" s="1"/>
  <c r="L221" i="1"/>
  <c r="S221" i="1" s="1"/>
  <c r="X221" i="1" s="1"/>
  <c r="M221" i="1"/>
  <c r="I222" i="1"/>
  <c r="J222" i="1"/>
  <c r="K222" i="1"/>
  <c r="R222" i="1" s="1"/>
  <c r="W222" i="1" s="1"/>
  <c r="L222" i="1"/>
  <c r="S222" i="1" s="1"/>
  <c r="X222" i="1" s="1"/>
  <c r="M222" i="1"/>
  <c r="T222" i="1" s="1"/>
  <c r="Y222" i="1" s="1"/>
  <c r="I223" i="1"/>
  <c r="J223" i="1"/>
  <c r="K223" i="1"/>
  <c r="L223" i="1"/>
  <c r="S223" i="1" s="1"/>
  <c r="X223" i="1" s="1"/>
  <c r="M223" i="1"/>
  <c r="T223" i="1" s="1"/>
  <c r="Y223" i="1" s="1"/>
  <c r="M160" i="1"/>
  <c r="L160" i="1"/>
  <c r="S160" i="1" s="1"/>
  <c r="X160" i="1" s="1"/>
  <c r="K160" i="1"/>
  <c r="R160" i="1" s="1"/>
  <c r="W160" i="1" s="1"/>
  <c r="J160" i="1"/>
  <c r="O160" i="1" s="1"/>
  <c r="Q160" i="1" s="1"/>
  <c r="V160" i="1" s="1"/>
  <c r="I160" i="1"/>
  <c r="M159" i="1"/>
  <c r="L159" i="1"/>
  <c r="S159" i="1" s="1"/>
  <c r="X159" i="1" s="1"/>
  <c r="K159" i="1"/>
  <c r="R159" i="1" s="1"/>
  <c r="W159" i="1" s="1"/>
  <c r="J159" i="1"/>
  <c r="O159" i="1" s="1"/>
  <c r="Q159" i="1" s="1"/>
  <c r="V159" i="1" s="1"/>
  <c r="I159" i="1"/>
  <c r="M158" i="1"/>
  <c r="L158" i="1"/>
  <c r="S158" i="1" s="1"/>
  <c r="X158" i="1" s="1"/>
  <c r="K158" i="1"/>
  <c r="R158" i="1" s="1"/>
  <c r="W158" i="1" s="1"/>
  <c r="J158" i="1"/>
  <c r="I158" i="1"/>
  <c r="M157" i="1"/>
  <c r="T157" i="1" s="1"/>
  <c r="Y157" i="1" s="1"/>
  <c r="L157" i="1"/>
  <c r="S157" i="1" s="1"/>
  <c r="X157" i="1" s="1"/>
  <c r="K157" i="1"/>
  <c r="R157" i="1" s="1"/>
  <c r="W157" i="1" s="1"/>
  <c r="J157" i="1"/>
  <c r="O157" i="1" s="1"/>
  <c r="Q157" i="1" s="1"/>
  <c r="V157" i="1" s="1"/>
  <c r="I157" i="1"/>
  <c r="N157" i="1" s="1"/>
  <c r="P157" i="1" s="1"/>
  <c r="U157" i="1" s="1"/>
  <c r="M156" i="1"/>
  <c r="T156" i="1" s="1"/>
  <c r="Y156" i="1" s="1"/>
  <c r="L156" i="1"/>
  <c r="K156" i="1"/>
  <c r="R156" i="1" s="1"/>
  <c r="W156" i="1" s="1"/>
  <c r="J156" i="1"/>
  <c r="O156" i="1" s="1"/>
  <c r="Q156" i="1" s="1"/>
  <c r="V156" i="1" s="1"/>
  <c r="I156" i="1"/>
  <c r="M155" i="1"/>
  <c r="L155" i="1"/>
  <c r="S155" i="1" s="1"/>
  <c r="X155" i="1" s="1"/>
  <c r="K155" i="1"/>
  <c r="R155" i="1" s="1"/>
  <c r="W155" i="1" s="1"/>
  <c r="J155" i="1"/>
  <c r="O155" i="1" s="1"/>
  <c r="Q155" i="1" s="1"/>
  <c r="V155" i="1" s="1"/>
  <c r="I155" i="1"/>
  <c r="M154" i="1"/>
  <c r="L154" i="1"/>
  <c r="S154" i="1" s="1"/>
  <c r="X154" i="1" s="1"/>
  <c r="K154" i="1"/>
  <c r="R154" i="1" s="1"/>
  <c r="W154" i="1" s="1"/>
  <c r="J154" i="1"/>
  <c r="I154" i="1"/>
  <c r="M153" i="1"/>
  <c r="T153" i="1" s="1"/>
  <c r="Y153" i="1" s="1"/>
  <c r="L153" i="1"/>
  <c r="S153" i="1" s="1"/>
  <c r="X153" i="1" s="1"/>
  <c r="K153" i="1"/>
  <c r="R153" i="1" s="1"/>
  <c r="W153" i="1" s="1"/>
  <c r="J153" i="1"/>
  <c r="O153" i="1" s="1"/>
  <c r="Q153" i="1" s="1"/>
  <c r="V153" i="1" s="1"/>
  <c r="I153" i="1"/>
  <c r="M152" i="1"/>
  <c r="T152" i="1" s="1"/>
  <c r="Y152" i="1" s="1"/>
  <c r="L152" i="1"/>
  <c r="S152" i="1" s="1"/>
  <c r="X152" i="1" s="1"/>
  <c r="K152" i="1"/>
  <c r="R152" i="1" s="1"/>
  <c r="W152" i="1" s="1"/>
  <c r="J152" i="1"/>
  <c r="O152" i="1" s="1"/>
  <c r="Q152" i="1" s="1"/>
  <c r="V152" i="1" s="1"/>
  <c r="I152" i="1"/>
  <c r="M151" i="1"/>
  <c r="T151" i="1" s="1"/>
  <c r="Y151" i="1" s="1"/>
  <c r="L151" i="1"/>
  <c r="S151" i="1" s="1"/>
  <c r="X151" i="1" s="1"/>
  <c r="K151" i="1"/>
  <c r="R151" i="1" s="1"/>
  <c r="W151" i="1" s="1"/>
  <c r="J151" i="1"/>
  <c r="O151" i="1" s="1"/>
  <c r="Q151" i="1" s="1"/>
  <c r="V151" i="1" s="1"/>
  <c r="I151" i="1"/>
  <c r="M150" i="1"/>
  <c r="T150" i="1" s="1"/>
  <c r="Y150" i="1" s="1"/>
  <c r="L150" i="1"/>
  <c r="S150" i="1" s="1"/>
  <c r="X150" i="1" s="1"/>
  <c r="K150" i="1"/>
  <c r="R150" i="1" s="1"/>
  <c r="W150" i="1" s="1"/>
  <c r="J150" i="1"/>
  <c r="I150" i="1"/>
  <c r="M149" i="1"/>
  <c r="T149" i="1" s="1"/>
  <c r="Y149" i="1" s="1"/>
  <c r="L149" i="1"/>
  <c r="S149" i="1" s="1"/>
  <c r="X149" i="1" s="1"/>
  <c r="K149" i="1"/>
  <c r="R149" i="1" s="1"/>
  <c r="W149" i="1" s="1"/>
  <c r="J149" i="1"/>
  <c r="O149" i="1" s="1"/>
  <c r="Q149" i="1" s="1"/>
  <c r="V149" i="1" s="1"/>
  <c r="I149" i="1"/>
  <c r="N149" i="1" s="1"/>
  <c r="P149" i="1" s="1"/>
  <c r="U149" i="1" s="1"/>
  <c r="M148" i="1"/>
  <c r="T148" i="1" s="1"/>
  <c r="Y148" i="1" s="1"/>
  <c r="L148" i="1"/>
  <c r="S148" i="1" s="1"/>
  <c r="X148" i="1" s="1"/>
  <c r="K148" i="1"/>
  <c r="R148" i="1" s="1"/>
  <c r="W148" i="1" s="1"/>
  <c r="J148" i="1"/>
  <c r="O148" i="1" s="1"/>
  <c r="Q148" i="1" s="1"/>
  <c r="V148" i="1" s="1"/>
  <c r="I148" i="1"/>
  <c r="M147" i="1"/>
  <c r="T147" i="1" s="1"/>
  <c r="Y147" i="1" s="1"/>
  <c r="L147" i="1"/>
  <c r="S147" i="1" s="1"/>
  <c r="X147" i="1" s="1"/>
  <c r="K147" i="1"/>
  <c r="R147" i="1" s="1"/>
  <c r="W147" i="1" s="1"/>
  <c r="J147" i="1"/>
  <c r="I147" i="1"/>
  <c r="M146" i="1"/>
  <c r="T146" i="1" s="1"/>
  <c r="Y146" i="1" s="1"/>
  <c r="L146" i="1"/>
  <c r="S146" i="1" s="1"/>
  <c r="X146" i="1" s="1"/>
  <c r="K146" i="1"/>
  <c r="R146" i="1" s="1"/>
  <c r="W146" i="1" s="1"/>
  <c r="J146" i="1"/>
  <c r="I146" i="1"/>
  <c r="M145" i="1"/>
  <c r="T145" i="1" s="1"/>
  <c r="Y145" i="1" s="1"/>
  <c r="L145" i="1"/>
  <c r="S145" i="1" s="1"/>
  <c r="X145" i="1" s="1"/>
  <c r="K145" i="1"/>
  <c r="R145" i="1" s="1"/>
  <c r="W145" i="1" s="1"/>
  <c r="J145" i="1"/>
  <c r="O145" i="1" s="1"/>
  <c r="Q145" i="1" s="1"/>
  <c r="V145" i="1" s="1"/>
  <c r="I145" i="1"/>
  <c r="M144" i="1"/>
  <c r="L144" i="1"/>
  <c r="S144" i="1" s="1"/>
  <c r="X144" i="1" s="1"/>
  <c r="K144" i="1"/>
  <c r="R144" i="1" s="1"/>
  <c r="W144" i="1" s="1"/>
  <c r="J144" i="1"/>
  <c r="O144" i="1" s="1"/>
  <c r="Q144" i="1" s="1"/>
  <c r="V144" i="1" s="1"/>
  <c r="I144" i="1"/>
  <c r="M143" i="1"/>
  <c r="L143" i="1"/>
  <c r="S143" i="1" s="1"/>
  <c r="X143" i="1" s="1"/>
  <c r="K143" i="1"/>
  <c r="R143" i="1" s="1"/>
  <c r="W143" i="1" s="1"/>
  <c r="J143" i="1"/>
  <c r="I143" i="1"/>
  <c r="M142" i="1"/>
  <c r="L142" i="1"/>
  <c r="S142" i="1" s="1"/>
  <c r="X142" i="1" s="1"/>
  <c r="K142" i="1"/>
  <c r="R142" i="1" s="1"/>
  <c r="W142" i="1" s="1"/>
  <c r="J142" i="1"/>
  <c r="I142" i="1"/>
  <c r="M141" i="1"/>
  <c r="T141" i="1" s="1"/>
  <c r="Y141" i="1" s="1"/>
  <c r="L141" i="1"/>
  <c r="S141" i="1" s="1"/>
  <c r="X141" i="1" s="1"/>
  <c r="K141" i="1"/>
  <c r="R141" i="1" s="1"/>
  <c r="W141" i="1" s="1"/>
  <c r="J141" i="1"/>
  <c r="O141" i="1" s="1"/>
  <c r="Q141" i="1" s="1"/>
  <c r="V141" i="1" s="1"/>
  <c r="I141" i="1"/>
  <c r="M140" i="1"/>
  <c r="L140" i="1"/>
  <c r="S140" i="1" s="1"/>
  <c r="X140" i="1" s="1"/>
  <c r="K140" i="1"/>
  <c r="R140" i="1" s="1"/>
  <c r="W140" i="1" s="1"/>
  <c r="J140" i="1"/>
  <c r="O140" i="1" s="1"/>
  <c r="Q140" i="1" s="1"/>
  <c r="V140" i="1" s="1"/>
  <c r="I140" i="1"/>
  <c r="M139" i="1"/>
  <c r="T139" i="1" s="1"/>
  <c r="Y139" i="1" s="1"/>
  <c r="L139" i="1"/>
  <c r="S139" i="1" s="1"/>
  <c r="X139" i="1" s="1"/>
  <c r="K139" i="1"/>
  <c r="R139" i="1" s="1"/>
  <c r="W139" i="1" s="1"/>
  <c r="J139" i="1"/>
  <c r="O139" i="1" s="1"/>
  <c r="Q139" i="1" s="1"/>
  <c r="V139" i="1" s="1"/>
  <c r="I139" i="1"/>
  <c r="M138" i="1"/>
  <c r="L138" i="1"/>
  <c r="S138" i="1" s="1"/>
  <c r="X138" i="1" s="1"/>
  <c r="K138" i="1"/>
  <c r="R138" i="1" s="1"/>
  <c r="W138" i="1" s="1"/>
  <c r="J138" i="1"/>
  <c r="I138" i="1"/>
  <c r="M137" i="1"/>
  <c r="L137" i="1"/>
  <c r="S137" i="1" s="1"/>
  <c r="X137" i="1" s="1"/>
  <c r="K137" i="1"/>
  <c r="R137" i="1" s="1"/>
  <c r="W137" i="1" s="1"/>
  <c r="J137" i="1"/>
  <c r="O137" i="1" s="1"/>
  <c r="Q137" i="1" s="1"/>
  <c r="V137" i="1" s="1"/>
  <c r="I137" i="1"/>
  <c r="M136" i="1"/>
  <c r="T136" i="1" s="1"/>
  <c r="Y136" i="1" s="1"/>
  <c r="L136" i="1"/>
  <c r="S136" i="1" s="1"/>
  <c r="X136" i="1" s="1"/>
  <c r="K136" i="1"/>
  <c r="R136" i="1" s="1"/>
  <c r="W136" i="1" s="1"/>
  <c r="J136" i="1"/>
  <c r="O136" i="1" s="1"/>
  <c r="Q136" i="1" s="1"/>
  <c r="V136" i="1" s="1"/>
  <c r="I136" i="1"/>
  <c r="M135" i="1"/>
  <c r="L135" i="1"/>
  <c r="S135" i="1" s="1"/>
  <c r="X135" i="1" s="1"/>
  <c r="K135" i="1"/>
  <c r="R135" i="1" s="1"/>
  <c r="W135" i="1" s="1"/>
  <c r="J135" i="1"/>
  <c r="O135" i="1" s="1"/>
  <c r="Q135" i="1" s="1"/>
  <c r="V135" i="1" s="1"/>
  <c r="I135" i="1"/>
  <c r="M134" i="1"/>
  <c r="L134" i="1"/>
  <c r="S134" i="1" s="1"/>
  <c r="X134" i="1" s="1"/>
  <c r="K134" i="1"/>
  <c r="R134" i="1" s="1"/>
  <c r="W134" i="1" s="1"/>
  <c r="J134" i="1"/>
  <c r="O134" i="1" s="1"/>
  <c r="Q134" i="1" s="1"/>
  <c r="V134" i="1" s="1"/>
  <c r="I134" i="1"/>
  <c r="M133" i="1"/>
  <c r="T133" i="1" s="1"/>
  <c r="Y133" i="1" s="1"/>
  <c r="L133" i="1"/>
  <c r="K133" i="1"/>
  <c r="R133" i="1" s="1"/>
  <c r="W133" i="1" s="1"/>
  <c r="J133" i="1"/>
  <c r="O133" i="1" s="1"/>
  <c r="Q133" i="1" s="1"/>
  <c r="V133" i="1" s="1"/>
  <c r="I133" i="1"/>
  <c r="M132" i="1"/>
  <c r="T132" i="1" s="1"/>
  <c r="Y132" i="1" s="1"/>
  <c r="L132" i="1"/>
  <c r="S132" i="1" s="1"/>
  <c r="X132" i="1" s="1"/>
  <c r="K132" i="1"/>
  <c r="R132" i="1" s="1"/>
  <c r="W132" i="1" s="1"/>
  <c r="J132" i="1"/>
  <c r="O132" i="1" s="1"/>
  <c r="Q132" i="1" s="1"/>
  <c r="V132" i="1" s="1"/>
  <c r="I132" i="1"/>
  <c r="M131" i="1"/>
  <c r="L131" i="1"/>
  <c r="S131" i="1" s="1"/>
  <c r="X131" i="1" s="1"/>
  <c r="K131" i="1"/>
  <c r="R131" i="1" s="1"/>
  <c r="W131" i="1" s="1"/>
  <c r="J131" i="1"/>
  <c r="O131" i="1" s="1"/>
  <c r="Q131" i="1" s="1"/>
  <c r="V131" i="1" s="1"/>
  <c r="I131" i="1"/>
  <c r="M130" i="1"/>
  <c r="L130" i="1"/>
  <c r="S130" i="1" s="1"/>
  <c r="X130" i="1" s="1"/>
  <c r="K130" i="1"/>
  <c r="R130" i="1" s="1"/>
  <c r="W130" i="1" s="1"/>
  <c r="J130" i="1"/>
  <c r="I130" i="1"/>
  <c r="M129" i="1"/>
  <c r="T129" i="1" s="1"/>
  <c r="Y129" i="1" s="1"/>
  <c r="L129" i="1"/>
  <c r="S129" i="1" s="1"/>
  <c r="X129" i="1" s="1"/>
  <c r="K129" i="1"/>
  <c r="R129" i="1" s="1"/>
  <c r="W129" i="1" s="1"/>
  <c r="J129" i="1"/>
  <c r="O129" i="1" s="1"/>
  <c r="Q129" i="1" s="1"/>
  <c r="V129" i="1" s="1"/>
  <c r="I129" i="1"/>
  <c r="M128" i="1"/>
  <c r="T128" i="1" s="1"/>
  <c r="Y128" i="1" s="1"/>
  <c r="L128" i="1"/>
  <c r="S128" i="1" s="1"/>
  <c r="X128" i="1" s="1"/>
  <c r="K128" i="1"/>
  <c r="R128" i="1" s="1"/>
  <c r="W128" i="1" s="1"/>
  <c r="J128" i="1"/>
  <c r="O128" i="1" s="1"/>
  <c r="Q128" i="1" s="1"/>
  <c r="V128" i="1" s="1"/>
  <c r="I128" i="1"/>
  <c r="M127" i="1"/>
  <c r="T127" i="1" s="1"/>
  <c r="Y127" i="1" s="1"/>
  <c r="L127" i="1"/>
  <c r="S127" i="1" s="1"/>
  <c r="X127" i="1" s="1"/>
  <c r="K127" i="1"/>
  <c r="R127" i="1" s="1"/>
  <c r="W127" i="1" s="1"/>
  <c r="J127" i="1"/>
  <c r="I127" i="1"/>
  <c r="M126" i="1"/>
  <c r="T126" i="1" s="1"/>
  <c r="Y126" i="1" s="1"/>
  <c r="L126" i="1"/>
  <c r="S126" i="1" s="1"/>
  <c r="X126" i="1" s="1"/>
  <c r="K126" i="1"/>
  <c r="R126" i="1" s="1"/>
  <c r="W126" i="1" s="1"/>
  <c r="J126" i="1"/>
  <c r="I126" i="1"/>
  <c r="M125" i="1"/>
  <c r="T125" i="1" s="1"/>
  <c r="Y125" i="1" s="1"/>
  <c r="L125" i="1"/>
  <c r="S125" i="1" s="1"/>
  <c r="X125" i="1" s="1"/>
  <c r="K125" i="1"/>
  <c r="R125" i="1" s="1"/>
  <c r="W125" i="1" s="1"/>
  <c r="J125" i="1"/>
  <c r="O125" i="1" s="1"/>
  <c r="Q125" i="1" s="1"/>
  <c r="V125" i="1" s="1"/>
  <c r="I125" i="1"/>
  <c r="M124" i="1"/>
  <c r="L124" i="1"/>
  <c r="S124" i="1" s="1"/>
  <c r="X124" i="1" s="1"/>
  <c r="K124" i="1"/>
  <c r="R124" i="1" s="1"/>
  <c r="W124" i="1" s="1"/>
  <c r="J124" i="1"/>
  <c r="O124" i="1" s="1"/>
  <c r="Q124" i="1" s="1"/>
  <c r="V124" i="1" s="1"/>
  <c r="I124" i="1"/>
  <c r="M123" i="1"/>
  <c r="L123" i="1"/>
  <c r="S123" i="1" s="1"/>
  <c r="X123" i="1" s="1"/>
  <c r="K123" i="1"/>
  <c r="R123" i="1" s="1"/>
  <c r="W123" i="1" s="1"/>
  <c r="J123" i="1"/>
  <c r="I123" i="1"/>
  <c r="M122" i="1"/>
  <c r="L122" i="1"/>
  <c r="S122" i="1" s="1"/>
  <c r="X122" i="1" s="1"/>
  <c r="K122" i="1"/>
  <c r="R122" i="1" s="1"/>
  <c r="W122" i="1" s="1"/>
  <c r="J122" i="1"/>
  <c r="I122" i="1"/>
  <c r="M121" i="1"/>
  <c r="L121" i="1"/>
  <c r="K121" i="1"/>
  <c r="J121" i="1"/>
  <c r="O121" i="1" s="1"/>
  <c r="Q121" i="1" s="1"/>
  <c r="V121" i="1" s="1"/>
  <c r="I121" i="1"/>
  <c r="M120" i="1"/>
  <c r="L120" i="1"/>
  <c r="S120" i="1" s="1"/>
  <c r="X120" i="1" s="1"/>
  <c r="K120" i="1"/>
  <c r="R120" i="1" s="1"/>
  <c r="W120" i="1" s="1"/>
  <c r="J120" i="1"/>
  <c r="O120" i="1" s="1"/>
  <c r="Q120" i="1" s="1"/>
  <c r="V120" i="1" s="1"/>
  <c r="I120" i="1"/>
  <c r="M119" i="1"/>
  <c r="T119" i="1" s="1"/>
  <c r="Y119" i="1" s="1"/>
  <c r="L119" i="1"/>
  <c r="S119" i="1" s="1"/>
  <c r="X119" i="1" s="1"/>
  <c r="K119" i="1"/>
  <c r="R119" i="1" s="1"/>
  <c r="W119" i="1" s="1"/>
  <c r="J119" i="1"/>
  <c r="O119" i="1" s="1"/>
  <c r="Q119" i="1" s="1"/>
  <c r="V119" i="1" s="1"/>
  <c r="I119" i="1"/>
  <c r="M118" i="1"/>
  <c r="T118" i="1" s="1"/>
  <c r="Y118" i="1" s="1"/>
  <c r="L118" i="1"/>
  <c r="S118" i="1" s="1"/>
  <c r="X118" i="1" s="1"/>
  <c r="K118" i="1"/>
  <c r="O118" i="1" s="1"/>
  <c r="Q118" i="1" s="1"/>
  <c r="V118" i="1" s="1"/>
  <c r="J118" i="1"/>
  <c r="I118" i="1"/>
  <c r="M117" i="1"/>
  <c r="T117" i="1" s="1"/>
  <c r="Y117" i="1" s="1"/>
  <c r="L117" i="1"/>
  <c r="S117" i="1" s="1"/>
  <c r="X117" i="1" s="1"/>
  <c r="K117" i="1"/>
  <c r="R117" i="1" s="1"/>
  <c r="W117" i="1" s="1"/>
  <c r="J117" i="1"/>
  <c r="O117" i="1" s="1"/>
  <c r="Q117" i="1" s="1"/>
  <c r="V117" i="1" s="1"/>
  <c r="I117" i="1"/>
  <c r="N117" i="1" s="1"/>
  <c r="P117" i="1" s="1"/>
  <c r="U117" i="1" s="1"/>
  <c r="M116" i="1"/>
  <c r="T116" i="1" s="1"/>
  <c r="Y116" i="1" s="1"/>
  <c r="L116" i="1"/>
  <c r="S116" i="1" s="1"/>
  <c r="X116" i="1" s="1"/>
  <c r="K116" i="1"/>
  <c r="R116" i="1" s="1"/>
  <c r="W116" i="1" s="1"/>
  <c r="J116" i="1"/>
  <c r="O116" i="1" s="1"/>
  <c r="Q116" i="1" s="1"/>
  <c r="V116" i="1" s="1"/>
  <c r="I116" i="1"/>
  <c r="M115" i="1"/>
  <c r="T115" i="1" s="1"/>
  <c r="Y115" i="1" s="1"/>
  <c r="L115" i="1"/>
  <c r="S115" i="1" s="1"/>
  <c r="X115" i="1" s="1"/>
  <c r="K115" i="1"/>
  <c r="R115" i="1" s="1"/>
  <c r="W115" i="1" s="1"/>
  <c r="J115" i="1"/>
  <c r="O115" i="1" s="1"/>
  <c r="Q115" i="1" s="1"/>
  <c r="V115" i="1" s="1"/>
  <c r="I115" i="1"/>
  <c r="M114" i="1"/>
  <c r="T114" i="1" s="1"/>
  <c r="Y114" i="1" s="1"/>
  <c r="L114" i="1"/>
  <c r="S114" i="1" s="1"/>
  <c r="X114" i="1" s="1"/>
  <c r="K114" i="1"/>
  <c r="R114" i="1" s="1"/>
  <c r="W114" i="1" s="1"/>
  <c r="J114" i="1"/>
  <c r="I114" i="1"/>
  <c r="M113" i="1"/>
  <c r="T113" i="1" s="1"/>
  <c r="Y113" i="1" s="1"/>
  <c r="L113" i="1"/>
  <c r="S113" i="1" s="1"/>
  <c r="X113" i="1" s="1"/>
  <c r="K113" i="1"/>
  <c r="R113" i="1" s="1"/>
  <c r="W113" i="1" s="1"/>
  <c r="J113" i="1"/>
  <c r="O113" i="1" s="1"/>
  <c r="Q113" i="1" s="1"/>
  <c r="V113" i="1" s="1"/>
  <c r="I113" i="1"/>
  <c r="M112" i="1"/>
  <c r="T112" i="1" s="1"/>
  <c r="Y112" i="1" s="1"/>
  <c r="L112" i="1"/>
  <c r="S112" i="1" s="1"/>
  <c r="X112" i="1" s="1"/>
  <c r="K112" i="1"/>
  <c r="R112" i="1" s="1"/>
  <c r="W112" i="1" s="1"/>
  <c r="J112" i="1"/>
  <c r="O112" i="1" s="1"/>
  <c r="Q112" i="1" s="1"/>
  <c r="V112" i="1" s="1"/>
  <c r="I112" i="1"/>
  <c r="M111" i="1"/>
  <c r="L111" i="1"/>
  <c r="S111" i="1" s="1"/>
  <c r="X111" i="1" s="1"/>
  <c r="K111" i="1"/>
  <c r="R111" i="1" s="1"/>
  <c r="W111" i="1" s="1"/>
  <c r="J111" i="1"/>
  <c r="O111" i="1" s="1"/>
  <c r="Q111" i="1" s="1"/>
  <c r="V111" i="1" s="1"/>
  <c r="I111" i="1"/>
  <c r="M110" i="1"/>
  <c r="L110" i="1"/>
  <c r="S110" i="1" s="1"/>
  <c r="X110" i="1" s="1"/>
  <c r="K110" i="1"/>
  <c r="R110" i="1" s="1"/>
  <c r="W110" i="1" s="1"/>
  <c r="J110" i="1"/>
  <c r="I110" i="1"/>
  <c r="M109" i="1"/>
  <c r="T109" i="1" s="1"/>
  <c r="Y109" i="1" s="1"/>
  <c r="L109" i="1"/>
  <c r="S109" i="1" s="1"/>
  <c r="X109" i="1" s="1"/>
  <c r="K109" i="1"/>
  <c r="R109" i="1" s="1"/>
  <c r="W109" i="1" s="1"/>
  <c r="J109" i="1"/>
  <c r="O109" i="1" s="1"/>
  <c r="Q109" i="1" s="1"/>
  <c r="V109" i="1" s="1"/>
  <c r="I109" i="1"/>
  <c r="N109" i="1" s="1"/>
  <c r="P109" i="1" s="1"/>
  <c r="U109" i="1" s="1"/>
  <c r="M108" i="1"/>
  <c r="T108" i="1" s="1"/>
  <c r="Y108" i="1" s="1"/>
  <c r="L108" i="1"/>
  <c r="K108" i="1"/>
  <c r="R108" i="1" s="1"/>
  <c r="W108" i="1" s="1"/>
  <c r="J108" i="1"/>
  <c r="O108" i="1" s="1"/>
  <c r="Q108" i="1" s="1"/>
  <c r="V108" i="1" s="1"/>
  <c r="I108" i="1"/>
  <c r="M107" i="1"/>
  <c r="L107" i="1"/>
  <c r="S107" i="1" s="1"/>
  <c r="X107" i="1" s="1"/>
  <c r="K107" i="1"/>
  <c r="R107" i="1" s="1"/>
  <c r="W107" i="1" s="1"/>
  <c r="J107" i="1"/>
  <c r="I107" i="1"/>
  <c r="M106" i="1"/>
  <c r="L106" i="1"/>
  <c r="S106" i="1" s="1"/>
  <c r="X106" i="1" s="1"/>
  <c r="K106" i="1"/>
  <c r="R106" i="1" s="1"/>
  <c r="W106" i="1" s="1"/>
  <c r="J106" i="1"/>
  <c r="I106" i="1"/>
  <c r="M105" i="1"/>
  <c r="T105" i="1" s="1"/>
  <c r="Y105" i="1" s="1"/>
  <c r="L105" i="1"/>
  <c r="S105" i="1" s="1"/>
  <c r="X105" i="1" s="1"/>
  <c r="K105" i="1"/>
  <c r="R105" i="1" s="1"/>
  <c r="W105" i="1" s="1"/>
  <c r="J105" i="1"/>
  <c r="O105" i="1" s="1"/>
  <c r="Q105" i="1" s="1"/>
  <c r="V105" i="1" s="1"/>
  <c r="I105" i="1"/>
  <c r="M104" i="1"/>
  <c r="L104" i="1"/>
  <c r="S104" i="1" s="1"/>
  <c r="X104" i="1" s="1"/>
  <c r="K104" i="1"/>
  <c r="R104" i="1" s="1"/>
  <c r="W104" i="1" s="1"/>
  <c r="J104" i="1"/>
  <c r="O104" i="1" s="1"/>
  <c r="Q104" i="1" s="1"/>
  <c r="V104" i="1" s="1"/>
  <c r="I104" i="1"/>
  <c r="M103" i="1"/>
  <c r="L103" i="1"/>
  <c r="S103" i="1" s="1"/>
  <c r="X103" i="1" s="1"/>
  <c r="K103" i="1"/>
  <c r="R103" i="1" s="1"/>
  <c r="W103" i="1" s="1"/>
  <c r="J103" i="1"/>
  <c r="I103" i="1"/>
  <c r="M102" i="1"/>
  <c r="L102" i="1"/>
  <c r="S102" i="1" s="1"/>
  <c r="X102" i="1" s="1"/>
  <c r="K102" i="1"/>
  <c r="R102" i="1" s="1"/>
  <c r="W102" i="1" s="1"/>
  <c r="J102" i="1"/>
  <c r="I102" i="1"/>
  <c r="M101" i="1"/>
  <c r="T101" i="1" s="1"/>
  <c r="Y101" i="1" s="1"/>
  <c r="L101" i="1"/>
  <c r="S101" i="1" s="1"/>
  <c r="X101" i="1" s="1"/>
  <c r="K101" i="1"/>
  <c r="R101" i="1" s="1"/>
  <c r="W101" i="1" s="1"/>
  <c r="J101" i="1"/>
  <c r="O101" i="1" s="1"/>
  <c r="Q101" i="1" s="1"/>
  <c r="V101" i="1" s="1"/>
  <c r="I101" i="1"/>
  <c r="M100" i="1"/>
  <c r="T100" i="1" s="1"/>
  <c r="Y100" i="1" s="1"/>
  <c r="L100" i="1"/>
  <c r="S100" i="1" s="1"/>
  <c r="X100" i="1" s="1"/>
  <c r="K100" i="1"/>
  <c r="R100" i="1" s="1"/>
  <c r="W100" i="1" s="1"/>
  <c r="J100" i="1"/>
  <c r="O100" i="1" s="1"/>
  <c r="Q100" i="1" s="1"/>
  <c r="V100" i="1" s="1"/>
  <c r="I100" i="1"/>
  <c r="M99" i="1"/>
  <c r="T99" i="1" s="1"/>
  <c r="Y99" i="1" s="1"/>
  <c r="L99" i="1"/>
  <c r="S99" i="1" s="1"/>
  <c r="X99" i="1" s="1"/>
  <c r="K99" i="1"/>
  <c r="R99" i="1" s="1"/>
  <c r="W99" i="1" s="1"/>
  <c r="J99" i="1"/>
  <c r="O99" i="1" s="1"/>
  <c r="Q99" i="1" s="1"/>
  <c r="V99" i="1" s="1"/>
  <c r="I99" i="1"/>
  <c r="M98" i="1"/>
  <c r="T98" i="1" s="1"/>
  <c r="Y98" i="1" s="1"/>
  <c r="L98" i="1"/>
  <c r="S98" i="1" s="1"/>
  <c r="X98" i="1" s="1"/>
  <c r="K98" i="1"/>
  <c r="R98" i="1" s="1"/>
  <c r="W98" i="1" s="1"/>
  <c r="J98" i="1"/>
  <c r="I98" i="1"/>
  <c r="M97" i="1"/>
  <c r="T97" i="1" s="1"/>
  <c r="Y97" i="1" s="1"/>
  <c r="L97" i="1"/>
  <c r="S97" i="1" s="1"/>
  <c r="X97" i="1" s="1"/>
  <c r="K97" i="1"/>
  <c r="R97" i="1" s="1"/>
  <c r="W97" i="1" s="1"/>
  <c r="J97" i="1"/>
  <c r="O97" i="1" s="1"/>
  <c r="Q97" i="1" s="1"/>
  <c r="V97" i="1" s="1"/>
  <c r="I97" i="1"/>
  <c r="M96" i="1"/>
  <c r="T96" i="1" s="1"/>
  <c r="Y96" i="1" s="1"/>
  <c r="L96" i="1"/>
  <c r="S96" i="1" s="1"/>
  <c r="X96" i="1" s="1"/>
  <c r="K96" i="1"/>
  <c r="R96" i="1" s="1"/>
  <c r="W96" i="1" s="1"/>
  <c r="J96" i="1"/>
  <c r="O96" i="1" s="1"/>
  <c r="Q96" i="1" s="1"/>
  <c r="V96" i="1" s="1"/>
  <c r="I96" i="1"/>
  <c r="M95" i="1"/>
  <c r="T95" i="1" s="1"/>
  <c r="Y95" i="1" s="1"/>
  <c r="L95" i="1"/>
  <c r="S95" i="1" s="1"/>
  <c r="X95" i="1" s="1"/>
  <c r="K95" i="1"/>
  <c r="R95" i="1" s="1"/>
  <c r="W95" i="1" s="1"/>
  <c r="J95" i="1"/>
  <c r="O95" i="1" s="1"/>
  <c r="Q95" i="1" s="1"/>
  <c r="V95" i="1" s="1"/>
  <c r="I95" i="1"/>
  <c r="M94" i="1"/>
  <c r="T94" i="1" s="1"/>
  <c r="Y94" i="1" s="1"/>
  <c r="L94" i="1"/>
  <c r="S94" i="1" s="1"/>
  <c r="X94" i="1" s="1"/>
  <c r="K94" i="1"/>
  <c r="R94" i="1" s="1"/>
  <c r="W94" i="1" s="1"/>
  <c r="J94" i="1"/>
  <c r="O94" i="1" s="1"/>
  <c r="Q94" i="1" s="1"/>
  <c r="V94" i="1" s="1"/>
  <c r="I94" i="1"/>
  <c r="M93" i="1"/>
  <c r="T93" i="1" s="1"/>
  <c r="Y93" i="1" s="1"/>
  <c r="L93" i="1"/>
  <c r="S93" i="1" s="1"/>
  <c r="X93" i="1" s="1"/>
  <c r="K93" i="1"/>
  <c r="R93" i="1" s="1"/>
  <c r="W93" i="1" s="1"/>
  <c r="J93" i="1"/>
  <c r="O93" i="1" s="1"/>
  <c r="Q93" i="1" s="1"/>
  <c r="V93" i="1" s="1"/>
  <c r="I93" i="1"/>
  <c r="M92" i="1"/>
  <c r="T92" i="1" s="1"/>
  <c r="Y92" i="1" s="1"/>
  <c r="L92" i="1"/>
  <c r="S92" i="1" s="1"/>
  <c r="X92" i="1" s="1"/>
  <c r="K92" i="1"/>
  <c r="R92" i="1" s="1"/>
  <c r="W92" i="1" s="1"/>
  <c r="J92" i="1"/>
  <c r="O92" i="1" s="1"/>
  <c r="Q92" i="1" s="1"/>
  <c r="V92" i="1" s="1"/>
  <c r="I92" i="1"/>
  <c r="M91" i="1"/>
  <c r="T91" i="1" s="1"/>
  <c r="Y91" i="1" s="1"/>
  <c r="L91" i="1"/>
  <c r="S91" i="1" s="1"/>
  <c r="X91" i="1" s="1"/>
  <c r="K91" i="1"/>
  <c r="R91" i="1" s="1"/>
  <c r="W91" i="1" s="1"/>
  <c r="J91" i="1"/>
  <c r="O91" i="1" s="1"/>
  <c r="Q91" i="1" s="1"/>
  <c r="V91" i="1" s="1"/>
  <c r="I91" i="1"/>
  <c r="M90" i="1"/>
  <c r="T90" i="1" s="1"/>
  <c r="Y90" i="1" s="1"/>
  <c r="L90" i="1"/>
  <c r="S90" i="1" s="1"/>
  <c r="X90" i="1" s="1"/>
  <c r="K90" i="1"/>
  <c r="R90" i="1" s="1"/>
  <c r="W90" i="1" s="1"/>
  <c r="J90" i="1"/>
  <c r="I90" i="1"/>
  <c r="M89" i="1"/>
  <c r="T89" i="1" s="1"/>
  <c r="Y89" i="1" s="1"/>
  <c r="L89" i="1"/>
  <c r="S89" i="1" s="1"/>
  <c r="X89" i="1" s="1"/>
  <c r="K89" i="1"/>
  <c r="R89" i="1" s="1"/>
  <c r="W89" i="1" s="1"/>
  <c r="J89" i="1"/>
  <c r="O89" i="1" s="1"/>
  <c r="Q89" i="1" s="1"/>
  <c r="V89" i="1" s="1"/>
  <c r="I89" i="1"/>
  <c r="M88" i="1"/>
  <c r="T88" i="1" s="1"/>
  <c r="Y88" i="1" s="1"/>
  <c r="L88" i="1"/>
  <c r="K88" i="1"/>
  <c r="R88" i="1" s="1"/>
  <c r="W88" i="1" s="1"/>
  <c r="J88" i="1"/>
  <c r="O88" i="1" s="1"/>
  <c r="Q88" i="1" s="1"/>
  <c r="V88" i="1" s="1"/>
  <c r="I88" i="1"/>
  <c r="M87" i="1"/>
  <c r="L87" i="1"/>
  <c r="S87" i="1" s="1"/>
  <c r="X87" i="1" s="1"/>
  <c r="K87" i="1"/>
  <c r="R87" i="1" s="1"/>
  <c r="W87" i="1" s="1"/>
  <c r="J87" i="1"/>
  <c r="I87" i="1"/>
  <c r="M86" i="1"/>
  <c r="T86" i="1" s="1"/>
  <c r="Y86" i="1" s="1"/>
  <c r="L86" i="1"/>
  <c r="S86" i="1" s="1"/>
  <c r="X86" i="1" s="1"/>
  <c r="K86" i="1"/>
  <c r="R86" i="1" s="1"/>
  <c r="W86" i="1" s="1"/>
  <c r="J86" i="1"/>
  <c r="I86" i="1"/>
  <c r="M85" i="1"/>
  <c r="T85" i="1" s="1"/>
  <c r="L85" i="1"/>
  <c r="S85" i="1" s="1"/>
  <c r="X85" i="1" s="1"/>
  <c r="K85" i="1"/>
  <c r="R85" i="1" s="1"/>
  <c r="W85" i="1" s="1"/>
  <c r="J85" i="1"/>
  <c r="O85" i="1" s="1"/>
  <c r="Q85" i="1" s="1"/>
  <c r="V85" i="1" s="1"/>
  <c r="I85" i="1"/>
  <c r="M84" i="1"/>
  <c r="L84" i="1"/>
  <c r="S84" i="1" s="1"/>
  <c r="X84" i="1" s="1"/>
  <c r="K84" i="1"/>
  <c r="R84" i="1" s="1"/>
  <c r="W84" i="1" s="1"/>
  <c r="J84" i="1"/>
  <c r="O84" i="1" s="1"/>
  <c r="Q84" i="1" s="1"/>
  <c r="V84" i="1" s="1"/>
  <c r="I84" i="1"/>
  <c r="M83" i="1"/>
  <c r="L83" i="1"/>
  <c r="S83" i="1" s="1"/>
  <c r="X83" i="1" s="1"/>
  <c r="K83" i="1"/>
  <c r="R83" i="1" s="1"/>
  <c r="W83" i="1" s="1"/>
  <c r="J83" i="1"/>
  <c r="I83" i="1"/>
  <c r="M82" i="1"/>
  <c r="L82" i="1"/>
  <c r="S82" i="1" s="1"/>
  <c r="X82" i="1" s="1"/>
  <c r="K82" i="1"/>
  <c r="R82" i="1" s="1"/>
  <c r="W82" i="1" s="1"/>
  <c r="J82" i="1"/>
  <c r="I82" i="1"/>
  <c r="M81" i="1"/>
  <c r="L81" i="1"/>
  <c r="K81" i="1"/>
  <c r="R81" i="1" s="1"/>
  <c r="W81" i="1" s="1"/>
  <c r="J81" i="1"/>
  <c r="O81" i="1" s="1"/>
  <c r="Q81" i="1" s="1"/>
  <c r="V81" i="1" s="1"/>
  <c r="I81" i="1"/>
  <c r="M80" i="1"/>
  <c r="L80" i="1"/>
  <c r="S80" i="1" s="1"/>
  <c r="X80" i="1" s="1"/>
  <c r="K80" i="1"/>
  <c r="R80" i="1" s="1"/>
  <c r="W80" i="1" s="1"/>
  <c r="J80" i="1"/>
  <c r="O80" i="1" s="1"/>
  <c r="Q80" i="1" s="1"/>
  <c r="V80" i="1" s="1"/>
  <c r="I80" i="1"/>
  <c r="M79" i="1"/>
  <c r="L79" i="1"/>
  <c r="S79" i="1" s="1"/>
  <c r="X79" i="1" s="1"/>
  <c r="K79" i="1"/>
  <c r="R79" i="1" s="1"/>
  <c r="W79" i="1" s="1"/>
  <c r="J79" i="1"/>
  <c r="O79" i="1" s="1"/>
  <c r="Q79" i="1" s="1"/>
  <c r="V79" i="1" s="1"/>
  <c r="I79" i="1"/>
  <c r="M78" i="1"/>
  <c r="L78" i="1"/>
  <c r="S78" i="1" s="1"/>
  <c r="X78" i="1" s="1"/>
  <c r="K78" i="1"/>
  <c r="R78" i="1" s="1"/>
  <c r="W78" i="1" s="1"/>
  <c r="J78" i="1"/>
  <c r="I78" i="1"/>
  <c r="M77" i="1"/>
  <c r="T77" i="1" s="1"/>
  <c r="Y77" i="1" s="1"/>
  <c r="L77" i="1"/>
  <c r="S77" i="1" s="1"/>
  <c r="X77" i="1" s="1"/>
  <c r="K77" i="1"/>
  <c r="R77" i="1" s="1"/>
  <c r="W77" i="1" s="1"/>
  <c r="J77" i="1"/>
  <c r="O77" i="1" s="1"/>
  <c r="Q77" i="1" s="1"/>
  <c r="V77" i="1" s="1"/>
  <c r="I77" i="1"/>
  <c r="M76" i="1"/>
  <c r="T76" i="1" s="1"/>
  <c r="Y76" i="1" s="1"/>
  <c r="L76" i="1"/>
  <c r="S76" i="1" s="1"/>
  <c r="X76" i="1" s="1"/>
  <c r="K76" i="1"/>
  <c r="R76" i="1" s="1"/>
  <c r="W76" i="1" s="1"/>
  <c r="J76" i="1"/>
  <c r="O76" i="1" s="1"/>
  <c r="Q76" i="1" s="1"/>
  <c r="V76" i="1" s="1"/>
  <c r="I76" i="1"/>
  <c r="M75" i="1"/>
  <c r="T75" i="1" s="1"/>
  <c r="Y75" i="1" s="1"/>
  <c r="L75" i="1"/>
  <c r="S75" i="1" s="1"/>
  <c r="X75" i="1" s="1"/>
  <c r="K75" i="1"/>
  <c r="R75" i="1" s="1"/>
  <c r="W75" i="1" s="1"/>
  <c r="J75" i="1"/>
  <c r="O75" i="1" s="1"/>
  <c r="Q75" i="1" s="1"/>
  <c r="V75" i="1" s="1"/>
  <c r="I75" i="1"/>
  <c r="M74" i="1"/>
  <c r="T74" i="1" s="1"/>
  <c r="Y74" i="1" s="1"/>
  <c r="L74" i="1"/>
  <c r="S74" i="1" s="1"/>
  <c r="X74" i="1" s="1"/>
  <c r="K74" i="1"/>
  <c r="R74" i="1" s="1"/>
  <c r="W74" i="1" s="1"/>
  <c r="J74" i="1"/>
  <c r="I74" i="1"/>
  <c r="M73" i="1"/>
  <c r="T73" i="1" s="1"/>
  <c r="Y73" i="1" s="1"/>
  <c r="L73" i="1"/>
  <c r="K73" i="1"/>
  <c r="R73" i="1" s="1"/>
  <c r="W73" i="1" s="1"/>
  <c r="J73" i="1"/>
  <c r="O73" i="1" s="1"/>
  <c r="Q73" i="1" s="1"/>
  <c r="V73" i="1" s="1"/>
  <c r="I73" i="1"/>
  <c r="N73" i="1" s="1"/>
  <c r="P73" i="1" s="1"/>
  <c r="U73" i="1" s="1"/>
  <c r="M72" i="1"/>
  <c r="T72" i="1" s="1"/>
  <c r="Y72" i="1" s="1"/>
  <c r="L72" i="1"/>
  <c r="S72" i="1" s="1"/>
  <c r="X72" i="1" s="1"/>
  <c r="K72" i="1"/>
  <c r="R72" i="1" s="1"/>
  <c r="W72" i="1" s="1"/>
  <c r="J72" i="1"/>
  <c r="O72" i="1" s="1"/>
  <c r="Q72" i="1" s="1"/>
  <c r="V72" i="1" s="1"/>
  <c r="I72" i="1"/>
  <c r="M71" i="1"/>
  <c r="T71" i="1" s="1"/>
  <c r="Y71" i="1" s="1"/>
  <c r="L71" i="1"/>
  <c r="S71" i="1" s="1"/>
  <c r="X71" i="1" s="1"/>
  <c r="K71" i="1"/>
  <c r="R71" i="1" s="1"/>
  <c r="W71" i="1" s="1"/>
  <c r="J71" i="1"/>
  <c r="O71" i="1" s="1"/>
  <c r="Q71" i="1" s="1"/>
  <c r="V71" i="1" s="1"/>
  <c r="I71" i="1"/>
  <c r="M70" i="1"/>
  <c r="T70" i="1" s="1"/>
  <c r="Y70" i="1" s="1"/>
  <c r="L70" i="1"/>
  <c r="S70" i="1" s="1"/>
  <c r="X70" i="1" s="1"/>
  <c r="K70" i="1"/>
  <c r="R70" i="1" s="1"/>
  <c r="W70" i="1" s="1"/>
  <c r="J70" i="1"/>
  <c r="I70" i="1"/>
  <c r="M69" i="1"/>
  <c r="T69" i="1" s="1"/>
  <c r="Y69" i="1" s="1"/>
  <c r="L69" i="1"/>
  <c r="S69" i="1" s="1"/>
  <c r="X69" i="1" s="1"/>
  <c r="K69" i="1"/>
  <c r="R69" i="1" s="1"/>
  <c r="W69" i="1" s="1"/>
  <c r="J69" i="1"/>
  <c r="O69" i="1" s="1"/>
  <c r="Q69" i="1" s="1"/>
  <c r="V69" i="1" s="1"/>
  <c r="I69" i="1"/>
  <c r="M68" i="1"/>
  <c r="T68" i="1" s="1"/>
  <c r="Y68" i="1" s="1"/>
  <c r="L68" i="1"/>
  <c r="S68" i="1" s="1"/>
  <c r="X68" i="1" s="1"/>
  <c r="K68" i="1"/>
  <c r="R68" i="1" s="1"/>
  <c r="W68" i="1" s="1"/>
  <c r="J68" i="1"/>
  <c r="O68" i="1" s="1"/>
  <c r="Q68" i="1" s="1"/>
  <c r="V68" i="1" s="1"/>
  <c r="I68" i="1"/>
  <c r="M67" i="1"/>
  <c r="T67" i="1" s="1"/>
  <c r="Y67" i="1" s="1"/>
  <c r="L67" i="1"/>
  <c r="S67" i="1" s="1"/>
  <c r="X67" i="1" s="1"/>
  <c r="K67" i="1"/>
  <c r="R67" i="1" s="1"/>
  <c r="W67" i="1" s="1"/>
  <c r="J67" i="1"/>
  <c r="I67" i="1"/>
  <c r="M66" i="1"/>
  <c r="T66" i="1" s="1"/>
  <c r="Y66" i="1" s="1"/>
  <c r="L66" i="1"/>
  <c r="S66" i="1" s="1"/>
  <c r="X66" i="1" s="1"/>
  <c r="K66" i="1"/>
  <c r="R66" i="1" s="1"/>
  <c r="W66" i="1" s="1"/>
  <c r="J66" i="1"/>
  <c r="I66" i="1"/>
  <c r="M65" i="1"/>
  <c r="T65" i="1" s="1"/>
  <c r="Y65" i="1" s="1"/>
  <c r="L65" i="1"/>
  <c r="S65" i="1" s="1"/>
  <c r="X65" i="1" s="1"/>
  <c r="K65" i="1"/>
  <c r="R65" i="1" s="1"/>
  <c r="W65" i="1" s="1"/>
  <c r="J65" i="1"/>
  <c r="O65" i="1" s="1"/>
  <c r="Q65" i="1" s="1"/>
  <c r="V65" i="1" s="1"/>
  <c r="I65" i="1"/>
  <c r="M64" i="1"/>
  <c r="L64" i="1"/>
  <c r="S64" i="1" s="1"/>
  <c r="X64" i="1" s="1"/>
  <c r="K64" i="1"/>
  <c r="R64" i="1" s="1"/>
  <c r="W64" i="1" s="1"/>
  <c r="J64" i="1"/>
  <c r="O64" i="1" s="1"/>
  <c r="Q64" i="1" s="1"/>
  <c r="V64" i="1" s="1"/>
  <c r="I64" i="1"/>
  <c r="M63" i="1"/>
  <c r="L63" i="1"/>
  <c r="S63" i="1" s="1"/>
  <c r="X63" i="1" s="1"/>
  <c r="K63" i="1"/>
  <c r="R63" i="1" s="1"/>
  <c r="W63" i="1" s="1"/>
  <c r="J63" i="1"/>
  <c r="I63" i="1"/>
  <c r="M62" i="1"/>
  <c r="L62" i="1"/>
  <c r="S62" i="1" s="1"/>
  <c r="X62" i="1" s="1"/>
  <c r="K62" i="1"/>
  <c r="R62" i="1" s="1"/>
  <c r="W62" i="1" s="1"/>
  <c r="J62" i="1"/>
  <c r="I62" i="1"/>
  <c r="M61" i="1"/>
  <c r="T61" i="1" s="1"/>
  <c r="Y61" i="1" s="1"/>
  <c r="L61" i="1"/>
  <c r="S61" i="1" s="1"/>
  <c r="X61" i="1" s="1"/>
  <c r="K61" i="1"/>
  <c r="R61" i="1" s="1"/>
  <c r="W61" i="1" s="1"/>
  <c r="J61" i="1"/>
  <c r="O61" i="1" s="1"/>
  <c r="Q61" i="1" s="1"/>
  <c r="V61" i="1" s="1"/>
  <c r="I61" i="1"/>
  <c r="M60" i="1"/>
  <c r="L60" i="1"/>
  <c r="S60" i="1" s="1"/>
  <c r="X60" i="1" s="1"/>
  <c r="K60" i="1"/>
  <c r="R60" i="1" s="1"/>
  <c r="W60" i="1" s="1"/>
  <c r="J60" i="1"/>
  <c r="O60" i="1" s="1"/>
  <c r="Q60" i="1" s="1"/>
  <c r="V60" i="1" s="1"/>
  <c r="I60" i="1"/>
  <c r="M59" i="1"/>
  <c r="L59" i="1"/>
  <c r="S59" i="1" s="1"/>
  <c r="X59" i="1" s="1"/>
  <c r="K59" i="1"/>
  <c r="R59" i="1" s="1"/>
  <c r="W59" i="1" s="1"/>
  <c r="J59" i="1"/>
  <c r="O59" i="1" s="1"/>
  <c r="Q59" i="1" s="1"/>
  <c r="V59" i="1" s="1"/>
  <c r="I59" i="1"/>
  <c r="M58" i="1"/>
  <c r="L58" i="1"/>
  <c r="S58" i="1" s="1"/>
  <c r="X58" i="1" s="1"/>
  <c r="K58" i="1"/>
  <c r="O58" i="1" s="1"/>
  <c r="Q58" i="1" s="1"/>
  <c r="V58" i="1" s="1"/>
  <c r="J58" i="1"/>
  <c r="I58" i="1"/>
  <c r="M57" i="1"/>
  <c r="T57" i="1" s="1"/>
  <c r="Y57" i="1" s="1"/>
  <c r="L57" i="1"/>
  <c r="S57" i="1" s="1"/>
  <c r="X57" i="1" s="1"/>
  <c r="K57" i="1"/>
  <c r="R57" i="1" s="1"/>
  <c r="W57" i="1" s="1"/>
  <c r="J57" i="1"/>
  <c r="O57" i="1" s="1"/>
  <c r="Q57" i="1" s="1"/>
  <c r="V57" i="1" s="1"/>
  <c r="I57" i="1"/>
  <c r="M56" i="1"/>
  <c r="T56" i="1" s="1"/>
  <c r="Y56" i="1" s="1"/>
  <c r="L56" i="1"/>
  <c r="S56" i="1" s="1"/>
  <c r="X56" i="1" s="1"/>
  <c r="K56" i="1"/>
  <c r="R56" i="1" s="1"/>
  <c r="W56" i="1" s="1"/>
  <c r="J56" i="1"/>
  <c r="O56" i="1" s="1"/>
  <c r="Q56" i="1" s="1"/>
  <c r="V56" i="1" s="1"/>
  <c r="I56" i="1"/>
  <c r="M55" i="1"/>
  <c r="L55" i="1"/>
  <c r="S55" i="1" s="1"/>
  <c r="X55" i="1" s="1"/>
  <c r="K55" i="1"/>
  <c r="R55" i="1" s="1"/>
  <c r="W55" i="1" s="1"/>
  <c r="J55" i="1"/>
  <c r="O55" i="1" s="1"/>
  <c r="Q55" i="1" s="1"/>
  <c r="V55" i="1" s="1"/>
  <c r="I55" i="1"/>
  <c r="M54" i="1"/>
  <c r="L54" i="1"/>
  <c r="S54" i="1" s="1"/>
  <c r="X54" i="1" s="1"/>
  <c r="K54" i="1"/>
  <c r="R54" i="1" s="1"/>
  <c r="W54" i="1" s="1"/>
  <c r="J54" i="1"/>
  <c r="I54" i="1"/>
  <c r="M53" i="1"/>
  <c r="T53" i="1" s="1"/>
  <c r="Y53" i="1" s="1"/>
  <c r="L53" i="1"/>
  <c r="S53" i="1" s="1"/>
  <c r="X53" i="1" s="1"/>
  <c r="K53" i="1"/>
  <c r="R53" i="1" s="1"/>
  <c r="W53" i="1" s="1"/>
  <c r="J53" i="1"/>
  <c r="O53" i="1" s="1"/>
  <c r="Q53" i="1" s="1"/>
  <c r="V53" i="1" s="1"/>
  <c r="I53" i="1"/>
  <c r="M52" i="1"/>
  <c r="T52" i="1" s="1"/>
  <c r="Y52" i="1" s="1"/>
  <c r="L52" i="1"/>
  <c r="S52" i="1" s="1"/>
  <c r="X52" i="1" s="1"/>
  <c r="K52" i="1"/>
  <c r="R52" i="1" s="1"/>
  <c r="W52" i="1" s="1"/>
  <c r="J52" i="1"/>
  <c r="O52" i="1" s="1"/>
  <c r="Q52" i="1" s="1"/>
  <c r="V52" i="1" s="1"/>
  <c r="I52" i="1"/>
  <c r="M51" i="1"/>
  <c r="T51" i="1" s="1"/>
  <c r="Y51" i="1" s="1"/>
  <c r="L51" i="1"/>
  <c r="S51" i="1" s="1"/>
  <c r="X51" i="1" s="1"/>
  <c r="K51" i="1"/>
  <c r="R51" i="1" s="1"/>
  <c r="W51" i="1" s="1"/>
  <c r="J51" i="1"/>
  <c r="O51" i="1" s="1"/>
  <c r="Q51" i="1" s="1"/>
  <c r="V51" i="1" s="1"/>
  <c r="I51" i="1"/>
  <c r="M50" i="1"/>
  <c r="T50" i="1" s="1"/>
  <c r="Y50" i="1" s="1"/>
  <c r="L50" i="1"/>
  <c r="S50" i="1" s="1"/>
  <c r="X50" i="1" s="1"/>
  <c r="K50" i="1"/>
  <c r="R50" i="1" s="1"/>
  <c r="W50" i="1" s="1"/>
  <c r="J50" i="1"/>
  <c r="I50" i="1"/>
  <c r="M49" i="1"/>
  <c r="T49" i="1" s="1"/>
  <c r="Y49" i="1" s="1"/>
  <c r="L49" i="1"/>
  <c r="S49" i="1" s="1"/>
  <c r="X49" i="1" s="1"/>
  <c r="K49" i="1"/>
  <c r="R49" i="1" s="1"/>
  <c r="W49" i="1" s="1"/>
  <c r="J49" i="1"/>
  <c r="O49" i="1" s="1"/>
  <c r="Q49" i="1" s="1"/>
  <c r="V49" i="1" s="1"/>
  <c r="I49" i="1"/>
  <c r="M48" i="1"/>
  <c r="T48" i="1" s="1"/>
  <c r="Y48" i="1" s="1"/>
  <c r="L48" i="1"/>
  <c r="S48" i="1" s="1"/>
  <c r="X48" i="1" s="1"/>
  <c r="K48" i="1"/>
  <c r="R48" i="1" s="1"/>
  <c r="W48" i="1" s="1"/>
  <c r="J48" i="1"/>
  <c r="O48" i="1" s="1"/>
  <c r="Q48" i="1" s="1"/>
  <c r="V48" i="1" s="1"/>
  <c r="I48" i="1"/>
  <c r="M47" i="1"/>
  <c r="T47" i="1" s="1"/>
  <c r="Y47" i="1" s="1"/>
  <c r="L47" i="1"/>
  <c r="S47" i="1" s="1"/>
  <c r="X47" i="1" s="1"/>
  <c r="K47" i="1"/>
  <c r="R47" i="1" s="1"/>
  <c r="W47" i="1" s="1"/>
  <c r="J47" i="1"/>
  <c r="I47" i="1"/>
  <c r="M46" i="1"/>
  <c r="T46" i="1" s="1"/>
  <c r="Y46" i="1" s="1"/>
  <c r="L46" i="1"/>
  <c r="S46" i="1" s="1"/>
  <c r="X46" i="1" s="1"/>
  <c r="K46" i="1"/>
  <c r="R46" i="1" s="1"/>
  <c r="W46" i="1" s="1"/>
  <c r="J46" i="1"/>
  <c r="I46" i="1"/>
  <c r="M45" i="1"/>
  <c r="T45" i="1" s="1"/>
  <c r="Y45" i="1" s="1"/>
  <c r="L45" i="1"/>
  <c r="S45" i="1" s="1"/>
  <c r="X45" i="1" s="1"/>
  <c r="K45" i="1"/>
  <c r="J45" i="1"/>
  <c r="O45" i="1" s="1"/>
  <c r="Q45" i="1" s="1"/>
  <c r="V45" i="1" s="1"/>
  <c r="I45" i="1"/>
  <c r="M44" i="1"/>
  <c r="L44" i="1"/>
  <c r="S44" i="1" s="1"/>
  <c r="X44" i="1" s="1"/>
  <c r="K44" i="1"/>
  <c r="R44" i="1" s="1"/>
  <c r="W44" i="1" s="1"/>
  <c r="J44" i="1"/>
  <c r="O44" i="1" s="1"/>
  <c r="Q44" i="1" s="1"/>
  <c r="V44" i="1" s="1"/>
  <c r="I44" i="1"/>
  <c r="M43" i="1"/>
  <c r="L43" i="1"/>
  <c r="S43" i="1" s="1"/>
  <c r="X43" i="1" s="1"/>
  <c r="K43" i="1"/>
  <c r="R43" i="1" s="1"/>
  <c r="W43" i="1" s="1"/>
  <c r="J43" i="1"/>
  <c r="I43" i="1"/>
  <c r="M42" i="1"/>
  <c r="L42" i="1"/>
  <c r="S42" i="1" s="1"/>
  <c r="X42" i="1" s="1"/>
  <c r="K42" i="1"/>
  <c r="R42" i="1" s="1"/>
  <c r="W42" i="1" s="1"/>
  <c r="J42" i="1"/>
  <c r="I42" i="1"/>
  <c r="M41" i="1"/>
  <c r="T41" i="1" s="1"/>
  <c r="Y41" i="1" s="1"/>
  <c r="L41" i="1"/>
  <c r="S41" i="1" s="1"/>
  <c r="X41" i="1" s="1"/>
  <c r="K41" i="1"/>
  <c r="R41" i="1" s="1"/>
  <c r="W41" i="1" s="1"/>
  <c r="J41" i="1"/>
  <c r="O41" i="1" s="1"/>
  <c r="Q41" i="1" s="1"/>
  <c r="V41" i="1" s="1"/>
  <c r="I41" i="1"/>
  <c r="M40" i="1"/>
  <c r="L40" i="1"/>
  <c r="S40" i="1" s="1"/>
  <c r="X40" i="1" s="1"/>
  <c r="K40" i="1"/>
  <c r="R40" i="1" s="1"/>
  <c r="W40" i="1" s="1"/>
  <c r="J40" i="1"/>
  <c r="O40" i="1" s="1"/>
  <c r="Q40" i="1" s="1"/>
  <c r="V40" i="1" s="1"/>
  <c r="I40" i="1"/>
  <c r="M39" i="1"/>
  <c r="T39" i="1" s="1"/>
  <c r="Y39" i="1" s="1"/>
  <c r="L39" i="1"/>
  <c r="S39" i="1" s="1"/>
  <c r="X39" i="1" s="1"/>
  <c r="K39" i="1"/>
  <c r="R39" i="1" s="1"/>
  <c r="W39" i="1" s="1"/>
  <c r="J39" i="1"/>
  <c r="O39" i="1" s="1"/>
  <c r="Q39" i="1" s="1"/>
  <c r="V39" i="1" s="1"/>
  <c r="I39" i="1"/>
  <c r="M38" i="1"/>
  <c r="T38" i="1" s="1"/>
  <c r="Y38" i="1" s="1"/>
  <c r="L38" i="1"/>
  <c r="S38" i="1" s="1"/>
  <c r="X38" i="1" s="1"/>
  <c r="K38" i="1"/>
  <c r="R38" i="1" s="1"/>
  <c r="W38" i="1" s="1"/>
  <c r="J38" i="1"/>
  <c r="I38" i="1"/>
  <c r="M37" i="1"/>
  <c r="T37" i="1" s="1"/>
  <c r="Y37" i="1" s="1"/>
  <c r="L37" i="1"/>
  <c r="S37" i="1" s="1"/>
  <c r="X37" i="1" s="1"/>
  <c r="K37" i="1"/>
  <c r="R37" i="1" s="1"/>
  <c r="W37" i="1" s="1"/>
  <c r="J37" i="1"/>
  <c r="O37" i="1" s="1"/>
  <c r="Q37" i="1" s="1"/>
  <c r="V37" i="1" s="1"/>
  <c r="I37" i="1"/>
  <c r="M36" i="1"/>
  <c r="T36" i="1" s="1"/>
  <c r="Y36" i="1" s="1"/>
  <c r="L36" i="1"/>
  <c r="S36" i="1" s="1"/>
  <c r="X36" i="1" s="1"/>
  <c r="K36" i="1"/>
  <c r="R36" i="1" s="1"/>
  <c r="W36" i="1" s="1"/>
  <c r="J36" i="1"/>
  <c r="O36" i="1" s="1"/>
  <c r="Q36" i="1" s="1"/>
  <c r="V36" i="1" s="1"/>
  <c r="I36" i="1"/>
  <c r="M35" i="1"/>
  <c r="L35" i="1"/>
  <c r="S35" i="1" s="1"/>
  <c r="X35" i="1" s="1"/>
  <c r="K35" i="1"/>
  <c r="R35" i="1" s="1"/>
  <c r="W35" i="1" s="1"/>
  <c r="J35" i="1"/>
  <c r="O35" i="1" s="1"/>
  <c r="Q35" i="1" s="1"/>
  <c r="V35" i="1" s="1"/>
  <c r="I35" i="1"/>
  <c r="M34" i="1"/>
  <c r="L34" i="1"/>
  <c r="S34" i="1" s="1"/>
  <c r="X34" i="1" s="1"/>
  <c r="K34" i="1"/>
  <c r="R34" i="1" s="1"/>
  <c r="W34" i="1" s="1"/>
  <c r="J34" i="1"/>
  <c r="I34" i="1"/>
  <c r="M33" i="1"/>
  <c r="T33" i="1" s="1"/>
  <c r="Y33" i="1" s="1"/>
  <c r="L33" i="1"/>
  <c r="S33" i="1" s="1"/>
  <c r="X33" i="1" s="1"/>
  <c r="K33" i="1"/>
  <c r="R33" i="1" s="1"/>
  <c r="W33" i="1" s="1"/>
  <c r="J33" i="1"/>
  <c r="O33" i="1" s="1"/>
  <c r="Q33" i="1" s="1"/>
  <c r="V33" i="1" s="1"/>
  <c r="I33" i="1"/>
  <c r="M32" i="1"/>
  <c r="T32" i="1" s="1"/>
  <c r="Y32" i="1" s="1"/>
  <c r="L32" i="1"/>
  <c r="S32" i="1" s="1"/>
  <c r="X32" i="1" s="1"/>
  <c r="K32" i="1"/>
  <c r="R32" i="1" s="1"/>
  <c r="W32" i="1" s="1"/>
  <c r="J32" i="1"/>
  <c r="O32" i="1" s="1"/>
  <c r="Q32" i="1" s="1"/>
  <c r="V32" i="1" s="1"/>
  <c r="I32" i="1"/>
  <c r="M31" i="1"/>
  <c r="L31" i="1"/>
  <c r="S31" i="1" s="1"/>
  <c r="X31" i="1" s="1"/>
  <c r="K31" i="1"/>
  <c r="R31" i="1" s="1"/>
  <c r="W31" i="1" s="1"/>
  <c r="J31" i="1"/>
  <c r="O31" i="1" s="1"/>
  <c r="Q31" i="1" s="1"/>
  <c r="V31" i="1" s="1"/>
  <c r="I31" i="1"/>
  <c r="M30" i="1"/>
  <c r="L30" i="1"/>
  <c r="S30" i="1" s="1"/>
  <c r="X30" i="1" s="1"/>
  <c r="K30" i="1"/>
  <c r="R30" i="1" s="1"/>
  <c r="W30" i="1" s="1"/>
  <c r="J30" i="1"/>
  <c r="I30" i="1"/>
  <c r="M29" i="1"/>
  <c r="T29" i="1" s="1"/>
  <c r="Y29" i="1" s="1"/>
  <c r="L29" i="1"/>
  <c r="S29" i="1" s="1"/>
  <c r="X29" i="1" s="1"/>
  <c r="K29" i="1"/>
  <c r="R29" i="1" s="1"/>
  <c r="W29" i="1" s="1"/>
  <c r="J29" i="1"/>
  <c r="O29" i="1" s="1"/>
  <c r="Q29" i="1" s="1"/>
  <c r="V29" i="1" s="1"/>
  <c r="I29" i="1"/>
  <c r="M28" i="1"/>
  <c r="T28" i="1" s="1"/>
  <c r="Y28" i="1" s="1"/>
  <c r="L28" i="1"/>
  <c r="S28" i="1" s="1"/>
  <c r="X28" i="1" s="1"/>
  <c r="K28" i="1"/>
  <c r="R28" i="1" s="1"/>
  <c r="W28" i="1" s="1"/>
  <c r="J28" i="1"/>
  <c r="O28" i="1" s="1"/>
  <c r="Q28" i="1" s="1"/>
  <c r="V28" i="1" s="1"/>
  <c r="I28" i="1"/>
  <c r="M27" i="1"/>
  <c r="T27" i="1" s="1"/>
  <c r="Y27" i="1" s="1"/>
  <c r="L27" i="1"/>
  <c r="S27" i="1" s="1"/>
  <c r="X27" i="1" s="1"/>
  <c r="K27" i="1"/>
  <c r="R27" i="1" s="1"/>
  <c r="W27" i="1" s="1"/>
  <c r="J27" i="1"/>
  <c r="I27" i="1"/>
  <c r="M26" i="1"/>
  <c r="T26" i="1" s="1"/>
  <c r="Y26" i="1" s="1"/>
  <c r="L26" i="1"/>
  <c r="S26" i="1" s="1"/>
  <c r="X26" i="1" s="1"/>
  <c r="K26" i="1"/>
  <c r="R26" i="1" s="1"/>
  <c r="W26" i="1" s="1"/>
  <c r="J26" i="1"/>
  <c r="I26" i="1"/>
  <c r="M25" i="1"/>
  <c r="L25" i="1"/>
  <c r="S25" i="1" s="1"/>
  <c r="X25" i="1" s="1"/>
  <c r="K25" i="1"/>
  <c r="R25" i="1" s="1"/>
  <c r="W25" i="1" s="1"/>
  <c r="J25" i="1"/>
  <c r="O25" i="1" s="1"/>
  <c r="Q25" i="1" s="1"/>
  <c r="V25" i="1" s="1"/>
  <c r="I25" i="1"/>
  <c r="M24" i="1"/>
  <c r="L24" i="1"/>
  <c r="S24" i="1" s="1"/>
  <c r="X24" i="1" s="1"/>
  <c r="K24" i="1"/>
  <c r="R24" i="1" s="1"/>
  <c r="W24" i="1" s="1"/>
  <c r="J24" i="1"/>
  <c r="O24" i="1" s="1"/>
  <c r="Q24" i="1" s="1"/>
  <c r="V24" i="1" s="1"/>
  <c r="I24" i="1"/>
  <c r="M23" i="1"/>
  <c r="L23" i="1"/>
  <c r="S23" i="1" s="1"/>
  <c r="X23" i="1" s="1"/>
  <c r="K23" i="1"/>
  <c r="R23" i="1" s="1"/>
  <c r="W23" i="1" s="1"/>
  <c r="J23" i="1"/>
  <c r="I23" i="1"/>
  <c r="M22" i="1"/>
  <c r="L22" i="1"/>
  <c r="S22" i="1" s="1"/>
  <c r="X22" i="1" s="1"/>
  <c r="K22" i="1"/>
  <c r="R22" i="1" s="1"/>
  <c r="W22" i="1" s="1"/>
  <c r="J22" i="1"/>
  <c r="I22" i="1"/>
  <c r="M21" i="1"/>
  <c r="T21" i="1" s="1"/>
  <c r="Y21" i="1" s="1"/>
  <c r="L21" i="1"/>
  <c r="S21" i="1" s="1"/>
  <c r="X21" i="1" s="1"/>
  <c r="K21" i="1"/>
  <c r="R21" i="1" s="1"/>
  <c r="W21" i="1" s="1"/>
  <c r="J21" i="1"/>
  <c r="O21" i="1" s="1"/>
  <c r="Q21" i="1" s="1"/>
  <c r="V21" i="1" s="1"/>
  <c r="I21" i="1"/>
  <c r="M20" i="1"/>
  <c r="L20" i="1"/>
  <c r="S20" i="1" s="1"/>
  <c r="X20" i="1" s="1"/>
  <c r="K20" i="1"/>
  <c r="R20" i="1" s="1"/>
  <c r="W20" i="1" s="1"/>
  <c r="J20" i="1"/>
  <c r="O20" i="1" s="1"/>
  <c r="Q20" i="1" s="1"/>
  <c r="V20" i="1" s="1"/>
  <c r="I20" i="1"/>
  <c r="M19" i="1"/>
  <c r="T19" i="1" s="1"/>
  <c r="Y19" i="1" s="1"/>
  <c r="L19" i="1"/>
  <c r="S19" i="1" s="1"/>
  <c r="X19" i="1" s="1"/>
  <c r="K19" i="1"/>
  <c r="R19" i="1" s="1"/>
  <c r="W19" i="1" s="1"/>
  <c r="J19" i="1"/>
  <c r="O19" i="1" s="1"/>
  <c r="Q19" i="1" s="1"/>
  <c r="V19" i="1" s="1"/>
  <c r="I19" i="1"/>
  <c r="M18" i="1"/>
  <c r="T18" i="1" s="1"/>
  <c r="Y18" i="1" s="1"/>
  <c r="L18" i="1"/>
  <c r="S18" i="1" s="1"/>
  <c r="X18" i="1" s="1"/>
  <c r="K18" i="1"/>
  <c r="R18" i="1" s="1"/>
  <c r="W18" i="1" s="1"/>
  <c r="J18" i="1"/>
  <c r="I18" i="1"/>
  <c r="M17" i="1"/>
  <c r="T17" i="1" s="1"/>
  <c r="Y17" i="1" s="1"/>
  <c r="L17" i="1"/>
  <c r="S17" i="1" s="1"/>
  <c r="X17" i="1" s="1"/>
  <c r="K17" i="1"/>
  <c r="R17" i="1" s="1"/>
  <c r="W17" i="1" s="1"/>
  <c r="J17" i="1"/>
  <c r="O17" i="1" s="1"/>
  <c r="Q17" i="1" s="1"/>
  <c r="V17" i="1" s="1"/>
  <c r="I17" i="1"/>
  <c r="M16" i="1"/>
  <c r="T16" i="1" s="1"/>
  <c r="Y16" i="1" s="1"/>
  <c r="L16" i="1"/>
  <c r="S16" i="1" s="1"/>
  <c r="X16" i="1" s="1"/>
  <c r="K16" i="1"/>
  <c r="R16" i="1" s="1"/>
  <c r="W16" i="1" s="1"/>
  <c r="J16" i="1"/>
  <c r="O16" i="1" s="1"/>
  <c r="Q16" i="1" s="1"/>
  <c r="V16" i="1" s="1"/>
  <c r="I16" i="1"/>
  <c r="M15" i="1"/>
  <c r="T15" i="1" s="1"/>
  <c r="Y15" i="1" s="1"/>
  <c r="L15" i="1"/>
  <c r="S15" i="1" s="1"/>
  <c r="X15" i="1" s="1"/>
  <c r="K15" i="1"/>
  <c r="R15" i="1" s="1"/>
  <c r="W15" i="1" s="1"/>
  <c r="J15" i="1"/>
  <c r="O15" i="1" s="1"/>
  <c r="Q15" i="1" s="1"/>
  <c r="V15" i="1" s="1"/>
  <c r="I15" i="1"/>
  <c r="M14" i="1"/>
  <c r="T14" i="1" s="1"/>
  <c r="Y14" i="1" s="1"/>
  <c r="L14" i="1"/>
  <c r="S14" i="1" s="1"/>
  <c r="X14" i="1" s="1"/>
  <c r="K14" i="1"/>
  <c r="R14" i="1" s="1"/>
  <c r="W14" i="1" s="1"/>
  <c r="J14" i="1"/>
  <c r="I14" i="1"/>
  <c r="M13" i="1"/>
  <c r="T13" i="1" s="1"/>
  <c r="Y13" i="1" s="1"/>
  <c r="L13" i="1"/>
  <c r="S13" i="1" s="1"/>
  <c r="X13" i="1" s="1"/>
  <c r="K13" i="1"/>
  <c r="R13" i="1" s="1"/>
  <c r="W13" i="1" s="1"/>
  <c r="J13" i="1"/>
  <c r="O13" i="1" s="1"/>
  <c r="Q13" i="1" s="1"/>
  <c r="V13" i="1" s="1"/>
  <c r="I13" i="1"/>
  <c r="M12" i="1"/>
  <c r="T12" i="1" s="1"/>
  <c r="Y12" i="1" s="1"/>
  <c r="L12" i="1"/>
  <c r="S12" i="1" s="1"/>
  <c r="X12" i="1" s="1"/>
  <c r="K12" i="1"/>
  <c r="R12" i="1" s="1"/>
  <c r="W12" i="1" s="1"/>
  <c r="J12" i="1"/>
  <c r="O12" i="1" s="1"/>
  <c r="Q12" i="1" s="1"/>
  <c r="V12" i="1" s="1"/>
  <c r="I12" i="1"/>
  <c r="M11" i="1"/>
  <c r="L11" i="1"/>
  <c r="S11" i="1" s="1"/>
  <c r="X11" i="1" s="1"/>
  <c r="K11" i="1"/>
  <c r="R11" i="1" s="1"/>
  <c r="W11" i="1" s="1"/>
  <c r="J11" i="1"/>
  <c r="O11" i="1" s="1"/>
  <c r="Q11" i="1" s="1"/>
  <c r="V11" i="1" s="1"/>
  <c r="I11" i="1"/>
  <c r="M10" i="1"/>
  <c r="L10" i="1"/>
  <c r="S10" i="1" s="1"/>
  <c r="X10" i="1" s="1"/>
  <c r="K10" i="1"/>
  <c r="R10" i="1" s="1"/>
  <c r="W10" i="1" s="1"/>
  <c r="J10" i="1"/>
  <c r="I10" i="1"/>
  <c r="M9" i="1"/>
  <c r="T9" i="1" s="1"/>
  <c r="Y9" i="1" s="1"/>
  <c r="L9" i="1"/>
  <c r="S9" i="1" s="1"/>
  <c r="X9" i="1" s="1"/>
  <c r="K9" i="1"/>
  <c r="R9" i="1" s="1"/>
  <c r="W9" i="1" s="1"/>
  <c r="J9" i="1"/>
  <c r="O9" i="1" s="1"/>
  <c r="Q9" i="1" s="1"/>
  <c r="V9" i="1" s="1"/>
  <c r="I9" i="1"/>
  <c r="M8" i="1"/>
  <c r="T8" i="1" s="1"/>
  <c r="Y8" i="1" s="1"/>
  <c r="L8" i="1"/>
  <c r="S8" i="1" s="1"/>
  <c r="X8" i="1" s="1"/>
  <c r="K8" i="1"/>
  <c r="R8" i="1" s="1"/>
  <c r="W8" i="1" s="1"/>
  <c r="J8" i="1"/>
  <c r="O8" i="1" s="1"/>
  <c r="Q8" i="1" s="1"/>
  <c r="V8" i="1" s="1"/>
  <c r="I8" i="1"/>
  <c r="M7" i="1"/>
  <c r="L7" i="1"/>
  <c r="S7" i="1" s="1"/>
  <c r="X7" i="1" s="1"/>
  <c r="K7" i="1"/>
  <c r="R7" i="1" s="1"/>
  <c r="W7" i="1" s="1"/>
  <c r="J7" i="1"/>
  <c r="I7" i="1"/>
  <c r="M6" i="1"/>
  <c r="L6" i="1"/>
  <c r="S6" i="1" s="1"/>
  <c r="X6" i="1" s="1"/>
  <c r="K6" i="1"/>
  <c r="R6" i="1" s="1"/>
  <c r="W6" i="1" s="1"/>
  <c r="J6" i="1"/>
  <c r="I6" i="1"/>
  <c r="M5" i="1"/>
  <c r="T5" i="1" s="1"/>
  <c r="Y5" i="1" s="1"/>
  <c r="L5" i="1"/>
  <c r="S5" i="1" s="1"/>
  <c r="X5" i="1" s="1"/>
  <c r="K5" i="1"/>
  <c r="R5" i="1" s="1"/>
  <c r="W5" i="1" s="1"/>
  <c r="J5" i="1"/>
  <c r="O5" i="1" s="1"/>
  <c r="Q5" i="1" s="1"/>
  <c r="V5" i="1" s="1"/>
  <c r="I5" i="1"/>
  <c r="N5" i="1" s="1"/>
  <c r="P5" i="1" s="1"/>
  <c r="U5" i="1" s="1"/>
  <c r="M4" i="1"/>
  <c r="L4" i="1"/>
  <c r="S4" i="1" s="1"/>
  <c r="X4" i="1" s="1"/>
  <c r="K4" i="1"/>
  <c r="R4" i="1" s="1"/>
  <c r="W4" i="1" s="1"/>
  <c r="J4" i="1"/>
  <c r="O4" i="1" s="1"/>
  <c r="Q4" i="1" s="1"/>
  <c r="V4" i="1" s="1"/>
  <c r="I4" i="1"/>
  <c r="M3" i="1"/>
  <c r="L3" i="1"/>
  <c r="S3" i="1" s="1"/>
  <c r="K3" i="1"/>
  <c r="R3" i="1" s="1"/>
  <c r="W3" i="1" s="1"/>
  <c r="J3" i="1"/>
  <c r="I3" i="1"/>
  <c r="R118" i="1" l="1"/>
  <c r="W118" i="1" s="1"/>
  <c r="O172" i="1"/>
  <c r="Q172" i="1" s="1"/>
  <c r="V172" i="1" s="1"/>
  <c r="O221" i="1"/>
  <c r="Q221" i="1" s="1"/>
  <c r="V221" i="1" s="1"/>
  <c r="O192" i="1"/>
  <c r="Q192" i="1" s="1"/>
  <c r="V192" i="1" s="1"/>
  <c r="O98" i="1"/>
  <c r="Q98" i="1" s="1"/>
  <c r="V98" i="1" s="1"/>
  <c r="O174" i="1"/>
  <c r="Q174" i="1" s="1"/>
  <c r="V174" i="1" s="1"/>
  <c r="O6" i="1"/>
  <c r="Q6" i="1" s="1"/>
  <c r="V6" i="1" s="1"/>
  <c r="O10" i="1"/>
  <c r="Q10" i="1" s="1"/>
  <c r="V10" i="1" s="1"/>
  <c r="O14" i="1"/>
  <c r="Q14" i="1" s="1"/>
  <c r="V14" i="1" s="1"/>
  <c r="O18" i="1"/>
  <c r="Q18" i="1" s="1"/>
  <c r="V18" i="1" s="1"/>
  <c r="O22" i="1"/>
  <c r="Q22" i="1" s="1"/>
  <c r="V22" i="1" s="1"/>
  <c r="O26" i="1"/>
  <c r="Q26" i="1" s="1"/>
  <c r="V26" i="1" s="1"/>
  <c r="O30" i="1"/>
  <c r="Q30" i="1" s="1"/>
  <c r="V30" i="1" s="1"/>
  <c r="O34" i="1"/>
  <c r="Q34" i="1" s="1"/>
  <c r="V34" i="1" s="1"/>
  <c r="O38" i="1"/>
  <c r="Q38" i="1" s="1"/>
  <c r="V38" i="1" s="1"/>
  <c r="O42" i="1"/>
  <c r="Q42" i="1" s="1"/>
  <c r="V42" i="1" s="1"/>
  <c r="O46" i="1"/>
  <c r="Q46" i="1" s="1"/>
  <c r="V46" i="1" s="1"/>
  <c r="O50" i="1"/>
  <c r="Q50" i="1" s="1"/>
  <c r="V50" i="1" s="1"/>
  <c r="O54" i="1"/>
  <c r="Q54" i="1" s="1"/>
  <c r="V54" i="1" s="1"/>
  <c r="O62" i="1"/>
  <c r="Q62" i="1" s="1"/>
  <c r="V62" i="1" s="1"/>
  <c r="O66" i="1"/>
  <c r="Q66" i="1" s="1"/>
  <c r="V66" i="1" s="1"/>
  <c r="O70" i="1"/>
  <c r="Q70" i="1" s="1"/>
  <c r="V70" i="1" s="1"/>
  <c r="O74" i="1"/>
  <c r="Q74" i="1" s="1"/>
  <c r="V74" i="1" s="1"/>
  <c r="O78" i="1"/>
  <c r="Q78" i="1" s="1"/>
  <c r="V78" i="1" s="1"/>
  <c r="O82" i="1"/>
  <c r="Q82" i="1" s="1"/>
  <c r="V82" i="1" s="1"/>
  <c r="O86" i="1"/>
  <c r="Q86" i="1" s="1"/>
  <c r="V86" i="1" s="1"/>
  <c r="O90" i="1"/>
  <c r="Q90" i="1" s="1"/>
  <c r="V90" i="1" s="1"/>
  <c r="O102" i="1"/>
  <c r="Q102" i="1" s="1"/>
  <c r="V102" i="1" s="1"/>
  <c r="O106" i="1"/>
  <c r="Q106" i="1" s="1"/>
  <c r="V106" i="1" s="1"/>
  <c r="O110" i="1"/>
  <c r="Q110" i="1" s="1"/>
  <c r="V110" i="1" s="1"/>
  <c r="O114" i="1"/>
  <c r="Q114" i="1" s="1"/>
  <c r="V114" i="1" s="1"/>
  <c r="O122" i="1"/>
  <c r="Q122" i="1" s="1"/>
  <c r="V122" i="1" s="1"/>
  <c r="O126" i="1"/>
  <c r="Q126" i="1" s="1"/>
  <c r="V126" i="1" s="1"/>
  <c r="O130" i="1"/>
  <c r="Q130" i="1" s="1"/>
  <c r="V130" i="1" s="1"/>
  <c r="O138" i="1"/>
  <c r="Q138" i="1" s="1"/>
  <c r="V138" i="1" s="1"/>
  <c r="O142" i="1"/>
  <c r="Q142" i="1" s="1"/>
  <c r="V142" i="1" s="1"/>
  <c r="O146" i="1"/>
  <c r="Q146" i="1" s="1"/>
  <c r="V146" i="1" s="1"/>
  <c r="O150" i="1"/>
  <c r="Q150" i="1" s="1"/>
  <c r="V150" i="1" s="1"/>
  <c r="O154" i="1"/>
  <c r="Q154" i="1" s="1"/>
  <c r="V154" i="1" s="1"/>
  <c r="O158" i="1"/>
  <c r="Q158" i="1" s="1"/>
  <c r="V158" i="1" s="1"/>
  <c r="O197" i="1"/>
  <c r="Q197" i="1" s="1"/>
  <c r="V197" i="1" s="1"/>
  <c r="O161" i="1"/>
  <c r="Q161" i="1" s="1"/>
  <c r="V161" i="1" s="1"/>
  <c r="N177" i="1"/>
  <c r="P177" i="1" s="1"/>
  <c r="U177" i="1" s="1"/>
  <c r="O196" i="1"/>
  <c r="Q196" i="1" s="1"/>
  <c r="V196" i="1" s="1"/>
  <c r="O185" i="1"/>
  <c r="Q185" i="1" s="1"/>
  <c r="V185" i="1" s="1"/>
  <c r="O173" i="1"/>
  <c r="Q173" i="1" s="1"/>
  <c r="V173" i="1" s="1"/>
  <c r="N34" i="1"/>
  <c r="P34" i="1" s="1"/>
  <c r="U34" i="1" s="1"/>
  <c r="N42" i="1"/>
  <c r="P42" i="1" s="1"/>
  <c r="U42" i="1" s="1"/>
  <c r="N50" i="1"/>
  <c r="P50" i="1" s="1"/>
  <c r="U50" i="1" s="1"/>
  <c r="N82" i="1"/>
  <c r="P82" i="1" s="1"/>
  <c r="U82" i="1" s="1"/>
  <c r="N98" i="1"/>
  <c r="P98" i="1" s="1"/>
  <c r="U98" i="1" s="1"/>
  <c r="N110" i="1"/>
  <c r="P110" i="1" s="1"/>
  <c r="U110" i="1" s="1"/>
  <c r="O177" i="1"/>
  <c r="Q177" i="1" s="1"/>
  <c r="V177" i="1" s="1"/>
  <c r="N221" i="1"/>
  <c r="P221" i="1" s="1"/>
  <c r="U221" i="1" s="1"/>
  <c r="N201" i="1"/>
  <c r="P201" i="1" s="1"/>
  <c r="U201" i="1" s="1"/>
  <c r="N181" i="1"/>
  <c r="P181" i="1" s="1"/>
  <c r="U181" i="1" s="1"/>
  <c r="O175" i="1"/>
  <c r="Q175" i="1" s="1"/>
  <c r="V175" i="1" s="1"/>
  <c r="O176" i="1"/>
  <c r="Q176" i="1" s="1"/>
  <c r="V176" i="1" s="1"/>
  <c r="O178" i="1"/>
  <c r="Q178" i="1" s="1"/>
  <c r="V178" i="1" s="1"/>
  <c r="O193" i="1"/>
  <c r="Q193" i="1" s="1"/>
  <c r="V193" i="1" s="1"/>
  <c r="O222" i="1"/>
  <c r="Q222" i="1" s="1"/>
  <c r="V222" i="1" s="1"/>
  <c r="O181" i="1"/>
  <c r="Q181" i="1" s="1"/>
  <c r="V181" i="1" s="1"/>
  <c r="N197" i="1"/>
  <c r="P197" i="1" s="1"/>
  <c r="U197" i="1" s="1"/>
  <c r="O189" i="1"/>
  <c r="Q189" i="1" s="1"/>
  <c r="V189" i="1" s="1"/>
  <c r="O169" i="1"/>
  <c r="Q169" i="1" s="1"/>
  <c r="V169" i="1" s="1"/>
  <c r="O179" i="1"/>
  <c r="Q179" i="1" s="1"/>
  <c r="V179" i="1" s="1"/>
  <c r="N27" i="1"/>
  <c r="P27" i="1" s="1"/>
  <c r="U27" i="1" s="1"/>
  <c r="N59" i="1"/>
  <c r="P59" i="1" s="1"/>
  <c r="U59" i="1" s="1"/>
  <c r="N67" i="1"/>
  <c r="P67" i="1" s="1"/>
  <c r="U67" i="1" s="1"/>
  <c r="N71" i="1"/>
  <c r="P71" i="1" s="1"/>
  <c r="U71" i="1" s="1"/>
  <c r="N75" i="1"/>
  <c r="P75" i="1" s="1"/>
  <c r="U75" i="1" s="1"/>
  <c r="N79" i="1"/>
  <c r="P79" i="1" s="1"/>
  <c r="U79" i="1" s="1"/>
  <c r="N107" i="1"/>
  <c r="P107" i="1" s="1"/>
  <c r="U107" i="1" s="1"/>
  <c r="N147" i="1"/>
  <c r="P147" i="1" s="1"/>
  <c r="U147" i="1" s="1"/>
  <c r="T164" i="1"/>
  <c r="Y164" i="1" s="1"/>
  <c r="T155" i="1"/>
  <c r="Y155" i="1" s="1"/>
  <c r="T221" i="1"/>
  <c r="Y221" i="1" s="1"/>
  <c r="T10" i="1"/>
  <c r="Y10" i="1" s="1"/>
  <c r="T11" i="1"/>
  <c r="Y11" i="1" s="1"/>
  <c r="T35" i="1"/>
  <c r="Y35" i="1" s="1"/>
  <c r="T55" i="1"/>
  <c r="Y55" i="1" s="1"/>
  <c r="T83" i="1"/>
  <c r="Y83" i="1" s="1"/>
  <c r="T107" i="1"/>
  <c r="Y107" i="1" s="1"/>
  <c r="T123" i="1"/>
  <c r="Y123" i="1" s="1"/>
  <c r="T131" i="1"/>
  <c r="Y131" i="1" s="1"/>
  <c r="T135" i="1"/>
  <c r="Y135" i="1" s="1"/>
  <c r="T143" i="1"/>
  <c r="Y143" i="1" s="1"/>
  <c r="T216" i="1"/>
  <c r="Y216" i="1" s="1"/>
  <c r="T204" i="1"/>
  <c r="Y204" i="1" s="1"/>
  <c r="O165" i="1"/>
  <c r="Q165" i="1" s="1"/>
  <c r="V165" i="1" s="1"/>
  <c r="T7" i="1"/>
  <c r="Y7" i="1" s="1"/>
  <c r="T23" i="1"/>
  <c r="Y23" i="1" s="1"/>
  <c r="T31" i="1"/>
  <c r="Y31" i="1" s="1"/>
  <c r="T43" i="1"/>
  <c r="Y43" i="1" s="1"/>
  <c r="T59" i="1"/>
  <c r="Y59" i="1" s="1"/>
  <c r="T63" i="1"/>
  <c r="Y63" i="1" s="1"/>
  <c r="T79" i="1"/>
  <c r="Y79" i="1" s="1"/>
  <c r="T87" i="1"/>
  <c r="Y87" i="1" s="1"/>
  <c r="T103" i="1"/>
  <c r="Y103" i="1" s="1"/>
  <c r="T111" i="1"/>
  <c r="Y111" i="1" s="1"/>
  <c r="T159" i="1"/>
  <c r="Y159" i="1" s="1"/>
  <c r="T220" i="1"/>
  <c r="Y220" i="1" s="1"/>
  <c r="T212" i="1"/>
  <c r="Y212" i="1" s="1"/>
  <c r="T200" i="1"/>
  <c r="Y200" i="1" s="1"/>
  <c r="T192" i="1"/>
  <c r="Y192" i="1" s="1"/>
  <c r="T188" i="1"/>
  <c r="Y188" i="1" s="1"/>
  <c r="T180" i="1"/>
  <c r="Y180" i="1" s="1"/>
  <c r="T166" i="1"/>
  <c r="Y166" i="1" s="1"/>
  <c r="T162" i="1"/>
  <c r="Y162" i="1" s="1"/>
  <c r="O218" i="1"/>
  <c r="Q218" i="1" s="1"/>
  <c r="V218" i="1" s="1"/>
  <c r="O214" i="1"/>
  <c r="Q214" i="1" s="1"/>
  <c r="V214" i="1" s="1"/>
  <c r="O210" i="1"/>
  <c r="Q210" i="1" s="1"/>
  <c r="V210" i="1" s="1"/>
  <c r="O206" i="1"/>
  <c r="Q206" i="1" s="1"/>
  <c r="V206" i="1" s="1"/>
  <c r="O202" i="1"/>
  <c r="Q202" i="1" s="1"/>
  <c r="V202" i="1" s="1"/>
  <c r="O198" i="1"/>
  <c r="Q198" i="1" s="1"/>
  <c r="V198" i="1" s="1"/>
  <c r="T6" i="1"/>
  <c r="Y6" i="1" s="1"/>
  <c r="T22" i="1"/>
  <c r="Y22" i="1" s="1"/>
  <c r="T30" i="1"/>
  <c r="Y30" i="1" s="1"/>
  <c r="T34" i="1"/>
  <c r="Y34" i="1" s="1"/>
  <c r="T42" i="1"/>
  <c r="Y42" i="1" s="1"/>
  <c r="T54" i="1"/>
  <c r="Y54" i="1" s="1"/>
  <c r="T58" i="1"/>
  <c r="Y58" i="1" s="1"/>
  <c r="T62" i="1"/>
  <c r="Y62" i="1" s="1"/>
  <c r="T78" i="1"/>
  <c r="Y78" i="1" s="1"/>
  <c r="T82" i="1"/>
  <c r="Y82" i="1" s="1"/>
  <c r="T102" i="1"/>
  <c r="Y102" i="1" s="1"/>
  <c r="T106" i="1"/>
  <c r="Y106" i="1" s="1"/>
  <c r="T110" i="1"/>
  <c r="Y110" i="1" s="1"/>
  <c r="T122" i="1"/>
  <c r="Y122" i="1" s="1"/>
  <c r="T130" i="1"/>
  <c r="Y130" i="1" s="1"/>
  <c r="T134" i="1"/>
  <c r="Y134" i="1" s="1"/>
  <c r="T142" i="1"/>
  <c r="Y142" i="1" s="1"/>
  <c r="T154" i="1"/>
  <c r="Y154" i="1" s="1"/>
  <c r="T158" i="1"/>
  <c r="Y158" i="1" s="1"/>
  <c r="N218" i="1"/>
  <c r="P218" i="1" s="1"/>
  <c r="U218" i="1" s="1"/>
  <c r="O194" i="1"/>
  <c r="Q194" i="1" s="1"/>
  <c r="V194" i="1" s="1"/>
  <c r="O170" i="1"/>
  <c r="Q170" i="1" s="1"/>
  <c r="V170" i="1" s="1"/>
  <c r="T217" i="1"/>
  <c r="Y217" i="1" s="1"/>
  <c r="T213" i="1"/>
  <c r="Y213" i="1" s="1"/>
  <c r="T209" i="1"/>
  <c r="Y209" i="1" s="1"/>
  <c r="T205" i="1"/>
  <c r="Y205" i="1" s="1"/>
  <c r="T201" i="1"/>
  <c r="Y201" i="1" s="1"/>
  <c r="O166" i="1"/>
  <c r="Q166" i="1" s="1"/>
  <c r="V166" i="1" s="1"/>
  <c r="O162" i="1"/>
  <c r="Q162" i="1" s="1"/>
  <c r="V162" i="1" s="1"/>
  <c r="T189" i="1"/>
  <c r="Y189" i="1" s="1"/>
  <c r="T185" i="1"/>
  <c r="Y185" i="1" s="1"/>
  <c r="T181" i="1"/>
  <c r="Y181" i="1" s="1"/>
  <c r="T184" i="1"/>
  <c r="Y184" i="1" s="1"/>
  <c r="T165" i="1"/>
  <c r="Y165" i="1" s="1"/>
  <c r="T161" i="1"/>
  <c r="Y161" i="1" s="1"/>
  <c r="O217" i="1"/>
  <c r="Q217" i="1" s="1"/>
  <c r="V217" i="1" s="1"/>
  <c r="T138" i="1"/>
  <c r="Y138" i="1" s="1"/>
  <c r="O216" i="1"/>
  <c r="Q216" i="1" s="1"/>
  <c r="V216" i="1" s="1"/>
  <c r="O212" i="1"/>
  <c r="Q212" i="1" s="1"/>
  <c r="V212" i="1" s="1"/>
  <c r="O208" i="1"/>
  <c r="Q208" i="1" s="1"/>
  <c r="V208" i="1" s="1"/>
  <c r="O204" i="1"/>
  <c r="Q204" i="1" s="1"/>
  <c r="V204" i="1" s="1"/>
  <c r="O200" i="1"/>
  <c r="Q200" i="1" s="1"/>
  <c r="V200" i="1" s="1"/>
  <c r="T4" i="1"/>
  <c r="Y4" i="1" s="1"/>
  <c r="T20" i="1"/>
  <c r="Y20" i="1" s="1"/>
  <c r="T40" i="1"/>
  <c r="Y40" i="1" s="1"/>
  <c r="T44" i="1"/>
  <c r="Y44" i="1" s="1"/>
  <c r="T60" i="1"/>
  <c r="Y60" i="1" s="1"/>
  <c r="T64" i="1"/>
  <c r="Y64" i="1" s="1"/>
  <c r="T80" i="1"/>
  <c r="Y80" i="1" s="1"/>
  <c r="T84" i="1"/>
  <c r="Y84" i="1" s="1"/>
  <c r="T104" i="1"/>
  <c r="Y104" i="1" s="1"/>
  <c r="T120" i="1"/>
  <c r="Y120" i="1" s="1"/>
  <c r="T140" i="1"/>
  <c r="Y140" i="1" s="1"/>
  <c r="T144" i="1"/>
  <c r="Y144" i="1" s="1"/>
  <c r="T160" i="1"/>
  <c r="Y160" i="1" s="1"/>
  <c r="N200" i="1"/>
  <c r="P200" i="1" s="1"/>
  <c r="U200" i="1" s="1"/>
  <c r="O188" i="1"/>
  <c r="Q188" i="1" s="1"/>
  <c r="V188" i="1" s="1"/>
  <c r="O184" i="1"/>
  <c r="Q184" i="1" s="1"/>
  <c r="V184" i="1" s="1"/>
  <c r="O168" i="1"/>
  <c r="Q168" i="1" s="1"/>
  <c r="V168" i="1" s="1"/>
  <c r="T203" i="1"/>
  <c r="Y203" i="1" s="1"/>
  <c r="N196" i="1"/>
  <c r="P196" i="1" s="1"/>
  <c r="U196" i="1" s="1"/>
  <c r="N176" i="1"/>
  <c r="P176" i="1" s="1"/>
  <c r="U176" i="1" s="1"/>
  <c r="N172" i="1"/>
  <c r="P172" i="1" s="1"/>
  <c r="U172" i="1" s="1"/>
  <c r="T24" i="1"/>
  <c r="Y24" i="1" s="1"/>
  <c r="T124" i="1"/>
  <c r="Y124" i="1" s="1"/>
  <c r="O164" i="1"/>
  <c r="Q164" i="1" s="1"/>
  <c r="V164" i="1" s="1"/>
  <c r="T183" i="1"/>
  <c r="Y183" i="1" s="1"/>
  <c r="O163" i="1"/>
  <c r="Q163" i="1" s="1"/>
  <c r="V163" i="1" s="1"/>
  <c r="O223" i="1"/>
  <c r="Q223" i="1" s="1"/>
  <c r="V223" i="1" s="1"/>
  <c r="N171" i="1"/>
  <c r="P171" i="1" s="1"/>
  <c r="U171" i="1" s="1"/>
  <c r="N223" i="1"/>
  <c r="P223" i="1" s="1"/>
  <c r="U223" i="1" s="1"/>
  <c r="O215" i="1"/>
  <c r="Q215" i="1" s="1"/>
  <c r="V215" i="1" s="1"/>
  <c r="O211" i="1"/>
  <c r="Q211" i="1" s="1"/>
  <c r="V211" i="1" s="1"/>
  <c r="N211" i="1"/>
  <c r="P211" i="1" s="1"/>
  <c r="U211" i="1" s="1"/>
  <c r="N203" i="1"/>
  <c r="P203" i="1" s="1"/>
  <c r="U203" i="1" s="1"/>
  <c r="O187" i="1"/>
  <c r="Q187" i="1" s="1"/>
  <c r="V187" i="1" s="1"/>
  <c r="O183" i="1"/>
  <c r="Q183" i="1" s="1"/>
  <c r="V183" i="1" s="1"/>
  <c r="N58" i="1"/>
  <c r="P58" i="1" s="1"/>
  <c r="U58" i="1" s="1"/>
  <c r="R58" i="1"/>
  <c r="W58" i="1" s="1"/>
  <c r="N191" i="1"/>
  <c r="P191" i="1" s="1"/>
  <c r="U191" i="1" s="1"/>
  <c r="N187" i="1"/>
  <c r="P187" i="1" s="1"/>
  <c r="U187" i="1" s="1"/>
  <c r="N175" i="1"/>
  <c r="P175" i="1" s="1"/>
  <c r="U175" i="1" s="1"/>
  <c r="O167" i="1"/>
  <c r="Q167" i="1" s="1"/>
  <c r="V167" i="1" s="1"/>
  <c r="R186" i="1"/>
  <c r="W186" i="1" s="1"/>
  <c r="O203" i="1"/>
  <c r="Q203" i="1" s="1"/>
  <c r="V203" i="1" s="1"/>
  <c r="N167" i="1"/>
  <c r="P167" i="1" s="1"/>
  <c r="U167" i="1" s="1"/>
  <c r="O213" i="1"/>
  <c r="Q213" i="1" s="1"/>
  <c r="V213" i="1" s="1"/>
  <c r="N206" i="1"/>
  <c r="P206" i="1" s="1"/>
  <c r="U206" i="1" s="1"/>
  <c r="R206" i="1"/>
  <c r="W206" i="1" s="1"/>
  <c r="R220" i="1"/>
  <c r="W220" i="1" s="1"/>
  <c r="O220" i="1"/>
  <c r="Q220" i="1" s="1"/>
  <c r="V220" i="1" s="1"/>
  <c r="O3" i="1"/>
  <c r="Q3" i="1" s="1"/>
  <c r="V3" i="1" s="1"/>
  <c r="O7" i="1"/>
  <c r="Q7" i="1" s="1"/>
  <c r="V7" i="1" s="1"/>
  <c r="O23" i="1"/>
  <c r="Q23" i="1" s="1"/>
  <c r="V23" i="1" s="1"/>
  <c r="O27" i="1"/>
  <c r="Q27" i="1" s="1"/>
  <c r="V27" i="1" s="1"/>
  <c r="O43" i="1"/>
  <c r="Q43" i="1" s="1"/>
  <c r="V43" i="1" s="1"/>
  <c r="O47" i="1"/>
  <c r="Q47" i="1" s="1"/>
  <c r="V47" i="1" s="1"/>
  <c r="O63" i="1"/>
  <c r="Q63" i="1" s="1"/>
  <c r="V63" i="1" s="1"/>
  <c r="O67" i="1"/>
  <c r="Q67" i="1" s="1"/>
  <c r="V67" i="1" s="1"/>
  <c r="O83" i="1"/>
  <c r="Q83" i="1" s="1"/>
  <c r="V83" i="1" s="1"/>
  <c r="O87" i="1"/>
  <c r="Q87" i="1" s="1"/>
  <c r="V87" i="1" s="1"/>
  <c r="O103" i="1"/>
  <c r="Q103" i="1" s="1"/>
  <c r="V103" i="1" s="1"/>
  <c r="O107" i="1"/>
  <c r="Q107" i="1" s="1"/>
  <c r="V107" i="1" s="1"/>
  <c r="O123" i="1"/>
  <c r="Q123" i="1" s="1"/>
  <c r="V123" i="1" s="1"/>
  <c r="O127" i="1"/>
  <c r="Q127" i="1" s="1"/>
  <c r="V127" i="1" s="1"/>
  <c r="O143" i="1"/>
  <c r="Q143" i="1" s="1"/>
  <c r="V143" i="1" s="1"/>
  <c r="O147" i="1"/>
  <c r="Q147" i="1" s="1"/>
  <c r="V147" i="1" s="1"/>
  <c r="N198" i="1"/>
  <c r="P198" i="1" s="1"/>
  <c r="U198" i="1" s="1"/>
  <c r="O190" i="1"/>
  <c r="Q190" i="1" s="1"/>
  <c r="V190" i="1" s="1"/>
  <c r="O186" i="1"/>
  <c r="Q186" i="1" s="1"/>
  <c r="V186" i="1" s="1"/>
  <c r="O182" i="1"/>
  <c r="Q182" i="1" s="1"/>
  <c r="V182" i="1" s="1"/>
  <c r="O209" i="1"/>
  <c r="Q209" i="1" s="1"/>
  <c r="V209" i="1" s="1"/>
  <c r="O207" i="1"/>
  <c r="Q207" i="1" s="1"/>
  <c r="V207" i="1" s="1"/>
  <c r="N178" i="1"/>
  <c r="P178" i="1" s="1"/>
  <c r="U178" i="1" s="1"/>
  <c r="R178" i="1"/>
  <c r="W178" i="1" s="1"/>
  <c r="N217" i="1"/>
  <c r="P217" i="1" s="1"/>
  <c r="U217" i="1" s="1"/>
  <c r="N182" i="1"/>
  <c r="P182" i="1" s="1"/>
  <c r="U182" i="1" s="1"/>
  <c r="N162" i="1"/>
  <c r="P162" i="1" s="1"/>
  <c r="U162" i="1" s="1"/>
  <c r="R162" i="1"/>
  <c r="W162" i="1" s="1"/>
  <c r="X3" i="1"/>
  <c r="O201" i="1"/>
  <c r="Q201" i="1" s="1"/>
  <c r="V201" i="1" s="1"/>
  <c r="N24" i="1"/>
  <c r="P24" i="1" s="1"/>
  <c r="U24" i="1" s="1"/>
  <c r="N32" i="1"/>
  <c r="P32" i="1" s="1"/>
  <c r="U32" i="1" s="1"/>
  <c r="N52" i="1"/>
  <c r="P52" i="1" s="1"/>
  <c r="U52" i="1" s="1"/>
  <c r="N88" i="1"/>
  <c r="P88" i="1" s="1"/>
  <c r="U88" i="1" s="1"/>
  <c r="N92" i="1"/>
  <c r="P92" i="1" s="1"/>
  <c r="U92" i="1" s="1"/>
  <c r="N108" i="1"/>
  <c r="P108" i="1" s="1"/>
  <c r="U108" i="1" s="1"/>
  <c r="N128" i="1"/>
  <c r="P128" i="1" s="1"/>
  <c r="U128" i="1" s="1"/>
  <c r="N152" i="1"/>
  <c r="P152" i="1" s="1"/>
  <c r="U152" i="1" s="1"/>
  <c r="O205" i="1"/>
  <c r="Q205" i="1" s="1"/>
  <c r="V205" i="1" s="1"/>
  <c r="N213" i="1"/>
  <c r="P213" i="1" s="1"/>
  <c r="U213" i="1" s="1"/>
  <c r="N193" i="1"/>
  <c r="P193" i="1" s="1"/>
  <c r="U193" i="1" s="1"/>
  <c r="N185" i="1"/>
  <c r="P185" i="1" s="1"/>
  <c r="U185" i="1" s="1"/>
  <c r="N161" i="1"/>
  <c r="P161" i="1" s="1"/>
  <c r="U161" i="1" s="1"/>
  <c r="R161" i="1"/>
  <c r="W161" i="1" s="1"/>
  <c r="N208" i="1"/>
  <c r="P208" i="1" s="1"/>
  <c r="U208" i="1" s="1"/>
  <c r="N212" i="1"/>
  <c r="P212" i="1" s="1"/>
  <c r="U212" i="1" s="1"/>
  <c r="N192" i="1"/>
  <c r="P192" i="1" s="1"/>
  <c r="U192" i="1" s="1"/>
  <c r="N188" i="1"/>
  <c r="P188" i="1" s="1"/>
  <c r="U188" i="1" s="1"/>
  <c r="N180" i="1"/>
  <c r="P180" i="1" s="1"/>
  <c r="U180" i="1" s="1"/>
  <c r="N165" i="1"/>
  <c r="P165" i="1" s="1"/>
  <c r="U165" i="1" s="1"/>
  <c r="N126" i="1"/>
  <c r="P126" i="1" s="1"/>
  <c r="U126" i="1" s="1"/>
  <c r="N130" i="1"/>
  <c r="P130" i="1" s="1"/>
  <c r="U130" i="1" s="1"/>
  <c r="N150" i="1"/>
  <c r="P150" i="1" s="1"/>
  <c r="U150" i="1" s="1"/>
  <c r="N219" i="1"/>
  <c r="P219" i="1" s="1"/>
  <c r="U219" i="1" s="1"/>
  <c r="N164" i="1"/>
  <c r="P164" i="1" s="1"/>
  <c r="U164" i="1" s="1"/>
  <c r="N199" i="1"/>
  <c r="P199" i="1" s="1"/>
  <c r="U199" i="1" s="1"/>
  <c r="N84" i="1"/>
  <c r="P84" i="1" s="1"/>
  <c r="U84" i="1" s="1"/>
  <c r="N12" i="1"/>
  <c r="P12" i="1" s="1"/>
  <c r="U12" i="1" s="1"/>
  <c r="N112" i="1"/>
  <c r="P112" i="1" s="1"/>
  <c r="U112" i="1" s="1"/>
  <c r="N139" i="1"/>
  <c r="P139" i="1" s="1"/>
  <c r="U139" i="1" s="1"/>
  <c r="N10" i="1"/>
  <c r="P10" i="1" s="1"/>
  <c r="U10" i="1" s="1"/>
  <c r="N22" i="1"/>
  <c r="P22" i="1" s="1"/>
  <c r="U22" i="1" s="1"/>
  <c r="N99" i="1"/>
  <c r="P99" i="1" s="1"/>
  <c r="U99" i="1" s="1"/>
  <c r="N170" i="1"/>
  <c r="P170" i="1" s="1"/>
  <c r="U170" i="1" s="1"/>
  <c r="N47" i="1"/>
  <c r="P47" i="1" s="1"/>
  <c r="U47" i="1" s="1"/>
  <c r="N78" i="1"/>
  <c r="P78" i="1" s="1"/>
  <c r="U78" i="1" s="1"/>
  <c r="N89" i="1"/>
  <c r="P89" i="1" s="1"/>
  <c r="U89" i="1" s="1"/>
  <c r="N97" i="1"/>
  <c r="P97" i="1" s="1"/>
  <c r="U97" i="1" s="1"/>
  <c r="N138" i="1"/>
  <c r="P138" i="1" s="1"/>
  <c r="U138" i="1" s="1"/>
  <c r="N214" i="1"/>
  <c r="P214" i="1" s="1"/>
  <c r="U214" i="1" s="1"/>
  <c r="N205" i="1"/>
  <c r="P205" i="1" s="1"/>
  <c r="U205" i="1" s="1"/>
  <c r="N18" i="1"/>
  <c r="P18" i="1" s="1"/>
  <c r="U18" i="1" s="1"/>
  <c r="N29" i="1"/>
  <c r="P29" i="1" s="1"/>
  <c r="U29" i="1" s="1"/>
  <c r="N55" i="1"/>
  <c r="P55" i="1" s="1"/>
  <c r="U55" i="1" s="1"/>
  <c r="N120" i="1"/>
  <c r="P120" i="1" s="1"/>
  <c r="U120" i="1" s="1"/>
  <c r="N131" i="1"/>
  <c r="P131" i="1" s="1"/>
  <c r="U131" i="1" s="1"/>
  <c r="N48" i="1"/>
  <c r="P48" i="1" s="1"/>
  <c r="U48" i="1" s="1"/>
  <c r="N168" i="1"/>
  <c r="P168" i="1" s="1"/>
  <c r="U168" i="1" s="1"/>
  <c r="N23" i="1"/>
  <c r="P23" i="1" s="1"/>
  <c r="U23" i="1" s="1"/>
  <c r="N64" i="1"/>
  <c r="P64" i="1" s="1"/>
  <c r="U64" i="1" s="1"/>
  <c r="N76" i="1"/>
  <c r="P76" i="1" s="1"/>
  <c r="U76" i="1" s="1"/>
  <c r="N80" i="1"/>
  <c r="P80" i="1" s="1"/>
  <c r="U80" i="1" s="1"/>
  <c r="N91" i="1"/>
  <c r="P91" i="1" s="1"/>
  <c r="U91" i="1" s="1"/>
  <c r="N106" i="1"/>
  <c r="P106" i="1" s="1"/>
  <c r="U106" i="1" s="1"/>
  <c r="N136" i="1"/>
  <c r="P136" i="1" s="1"/>
  <c r="U136" i="1" s="1"/>
  <c r="N151" i="1"/>
  <c r="P151" i="1" s="1"/>
  <c r="U151" i="1" s="1"/>
  <c r="N195" i="1"/>
  <c r="P195" i="1" s="1"/>
  <c r="U195" i="1" s="1"/>
  <c r="N190" i="1"/>
  <c r="P190" i="1" s="1"/>
  <c r="U190" i="1" s="1"/>
  <c r="N215" i="1"/>
  <c r="P215" i="1" s="1"/>
  <c r="U215" i="1" s="1"/>
  <c r="N216" i="1"/>
  <c r="P216" i="1" s="1"/>
  <c r="U216" i="1" s="1"/>
  <c r="N210" i="1"/>
  <c r="P210" i="1" s="1"/>
  <c r="U210" i="1" s="1"/>
  <c r="N174" i="1"/>
  <c r="P174" i="1" s="1"/>
  <c r="U174" i="1" s="1"/>
  <c r="N204" i="1"/>
  <c r="P204" i="1" s="1"/>
  <c r="U204" i="1" s="1"/>
  <c r="N207" i="1"/>
  <c r="P207" i="1" s="1"/>
  <c r="U207" i="1" s="1"/>
  <c r="N209" i="1"/>
  <c r="P209" i="1" s="1"/>
  <c r="U209" i="1" s="1"/>
  <c r="N179" i="1"/>
  <c r="P179" i="1" s="1"/>
  <c r="U179" i="1" s="1"/>
  <c r="N184" i="1"/>
  <c r="P184" i="1" s="1"/>
  <c r="U184" i="1" s="1"/>
  <c r="N169" i="1"/>
  <c r="P169" i="1" s="1"/>
  <c r="U169" i="1" s="1"/>
  <c r="N173" i="1"/>
  <c r="P173" i="1" s="1"/>
  <c r="U173" i="1" s="1"/>
  <c r="N194" i="1"/>
  <c r="P194" i="1" s="1"/>
  <c r="U194" i="1" s="1"/>
  <c r="N189" i="1"/>
  <c r="P189" i="1" s="1"/>
  <c r="U189" i="1" s="1"/>
  <c r="N183" i="1"/>
  <c r="P183" i="1" s="1"/>
  <c r="U183" i="1" s="1"/>
  <c r="N222" i="1"/>
  <c r="P222" i="1" s="1"/>
  <c r="U222" i="1" s="1"/>
  <c r="N163" i="1"/>
  <c r="P163" i="1" s="1"/>
  <c r="U163" i="1" s="1"/>
  <c r="N202" i="1"/>
  <c r="P202" i="1" s="1"/>
  <c r="U202" i="1" s="1"/>
  <c r="T3" i="1"/>
  <c r="Y3" i="1" s="1"/>
  <c r="N74" i="1"/>
  <c r="P74" i="1" s="1"/>
  <c r="U74" i="1" s="1"/>
  <c r="N100" i="1"/>
  <c r="P100" i="1" s="1"/>
  <c r="U100" i="1" s="1"/>
  <c r="N53" i="1"/>
  <c r="P53" i="1" s="1"/>
  <c r="U53" i="1" s="1"/>
  <c r="N95" i="1"/>
  <c r="P95" i="1" s="1"/>
  <c r="U95" i="1" s="1"/>
  <c r="N156" i="1"/>
  <c r="P156" i="1" s="1"/>
  <c r="U156" i="1" s="1"/>
  <c r="N160" i="1"/>
  <c r="P160" i="1" s="1"/>
  <c r="U160" i="1" s="1"/>
  <c r="N38" i="1"/>
  <c r="P38" i="1" s="1"/>
  <c r="U38" i="1" s="1"/>
  <c r="N9" i="1"/>
  <c r="P9" i="1" s="1"/>
  <c r="U9" i="1" s="1"/>
  <c r="N70" i="1"/>
  <c r="P70" i="1" s="1"/>
  <c r="U70" i="1" s="1"/>
  <c r="N96" i="1"/>
  <c r="P96" i="1" s="1"/>
  <c r="U96" i="1" s="1"/>
  <c r="N153" i="1"/>
  <c r="P153" i="1" s="1"/>
  <c r="U153" i="1" s="1"/>
  <c r="N158" i="1"/>
  <c r="P158" i="1" s="1"/>
  <c r="U158" i="1" s="1"/>
  <c r="N11" i="1"/>
  <c r="P11" i="1" s="1"/>
  <c r="U11" i="1" s="1"/>
  <c r="N83" i="1"/>
  <c r="P83" i="1" s="1"/>
  <c r="U83" i="1" s="1"/>
  <c r="N148" i="1"/>
  <c r="P148" i="1" s="1"/>
  <c r="U148" i="1" s="1"/>
  <c r="N155" i="1"/>
  <c r="P155" i="1" s="1"/>
  <c r="U155" i="1" s="1"/>
  <c r="N37" i="1"/>
  <c r="P37" i="1" s="1"/>
  <c r="U37" i="1" s="1"/>
  <c r="N51" i="1"/>
  <c r="P51" i="1" s="1"/>
  <c r="U51" i="1" s="1"/>
  <c r="N93" i="1"/>
  <c r="P93" i="1" s="1"/>
  <c r="U93" i="1" s="1"/>
  <c r="N103" i="1"/>
  <c r="P103" i="1" s="1"/>
  <c r="U103" i="1" s="1"/>
  <c r="N21" i="1"/>
  <c r="P21" i="1" s="1"/>
  <c r="U21" i="1" s="1"/>
  <c r="N28" i="1"/>
  <c r="P28" i="1" s="1"/>
  <c r="U28" i="1" s="1"/>
  <c r="N63" i="1"/>
  <c r="P63" i="1" s="1"/>
  <c r="U63" i="1" s="1"/>
  <c r="N46" i="1"/>
  <c r="P46" i="1" s="1"/>
  <c r="U46" i="1" s="1"/>
  <c r="N56" i="1"/>
  <c r="P56" i="1" s="1"/>
  <c r="U56" i="1" s="1"/>
  <c r="N133" i="1"/>
  <c r="P133" i="1" s="1"/>
  <c r="U133" i="1" s="1"/>
  <c r="N137" i="1"/>
  <c r="P137" i="1" s="1"/>
  <c r="U137" i="1" s="1"/>
  <c r="N140" i="1"/>
  <c r="P140" i="1" s="1"/>
  <c r="U140" i="1" s="1"/>
  <c r="N154" i="1"/>
  <c r="P154" i="1" s="1"/>
  <c r="U154" i="1" s="1"/>
  <c r="N19" i="1"/>
  <c r="P19" i="1" s="1"/>
  <c r="U19" i="1" s="1"/>
  <c r="N44" i="1"/>
  <c r="P44" i="1" s="1"/>
  <c r="U44" i="1" s="1"/>
  <c r="N122" i="1"/>
  <c r="P122" i="1" s="1"/>
  <c r="U122" i="1" s="1"/>
  <c r="N26" i="1"/>
  <c r="P26" i="1" s="1"/>
  <c r="U26" i="1" s="1"/>
  <c r="N33" i="1"/>
  <c r="P33" i="1" s="1"/>
  <c r="U33" i="1" s="1"/>
  <c r="N94" i="1"/>
  <c r="P94" i="1" s="1"/>
  <c r="U94" i="1" s="1"/>
  <c r="N60" i="1"/>
  <c r="P60" i="1" s="1"/>
  <c r="U60" i="1" s="1"/>
  <c r="N77" i="1"/>
  <c r="P77" i="1" s="1"/>
  <c r="U77" i="1" s="1"/>
  <c r="N16" i="1"/>
  <c r="P16" i="1" s="1"/>
  <c r="U16" i="1" s="1"/>
  <c r="N127" i="1"/>
  <c r="P127" i="1" s="1"/>
  <c r="U127" i="1" s="1"/>
  <c r="N123" i="1"/>
  <c r="P123" i="1" s="1"/>
  <c r="U123" i="1" s="1"/>
  <c r="N145" i="1"/>
  <c r="P145" i="1" s="1"/>
  <c r="U145" i="1" s="1"/>
  <c r="N102" i="1"/>
  <c r="P102" i="1" s="1"/>
  <c r="U102" i="1" s="1"/>
  <c r="N144" i="1"/>
  <c r="P144" i="1" s="1"/>
  <c r="U144" i="1" s="1"/>
  <c r="N39" i="1"/>
  <c r="P39" i="1" s="1"/>
  <c r="U39" i="1" s="1"/>
  <c r="N69" i="1"/>
  <c r="P69" i="1" s="1"/>
  <c r="U69" i="1" s="1"/>
  <c r="N135" i="1"/>
  <c r="P135" i="1" s="1"/>
  <c r="U135" i="1" s="1"/>
  <c r="N6" i="1"/>
  <c r="P6" i="1" s="1"/>
  <c r="U6" i="1" s="1"/>
  <c r="N54" i="1"/>
  <c r="P54" i="1" s="1"/>
  <c r="U54" i="1" s="1"/>
  <c r="N121" i="1"/>
  <c r="P121" i="1" s="1"/>
  <c r="U121" i="1" s="1"/>
  <c r="N129" i="1"/>
  <c r="P129" i="1" s="1"/>
  <c r="U129" i="1" s="1"/>
  <c r="N13" i="1"/>
  <c r="P13" i="1" s="1"/>
  <c r="U13" i="1" s="1"/>
  <c r="N118" i="1"/>
  <c r="P118" i="1" s="1"/>
  <c r="U118" i="1" s="1"/>
  <c r="N90" i="1"/>
  <c r="P90" i="1" s="1"/>
  <c r="U90" i="1" s="1"/>
  <c r="N4" i="1"/>
  <c r="P4" i="1" s="1"/>
  <c r="U4" i="1" s="1"/>
  <c r="N7" i="1"/>
  <c r="P7" i="1" s="1"/>
  <c r="U7" i="1" s="1"/>
  <c r="N25" i="1"/>
  <c r="P25" i="1" s="1"/>
  <c r="U25" i="1" s="1"/>
  <c r="N31" i="1"/>
  <c r="P31" i="1" s="1"/>
  <c r="U31" i="1" s="1"/>
  <c r="N104" i="1"/>
  <c r="P104" i="1" s="1"/>
  <c r="U104" i="1" s="1"/>
  <c r="N116" i="1"/>
  <c r="P116" i="1" s="1"/>
  <c r="U116" i="1" s="1"/>
  <c r="N119" i="1"/>
  <c r="P119" i="1" s="1"/>
  <c r="U119" i="1" s="1"/>
  <c r="N124" i="1"/>
  <c r="P124" i="1" s="1"/>
  <c r="U124" i="1" s="1"/>
  <c r="N72" i="1"/>
  <c r="P72" i="1" s="1"/>
  <c r="U72" i="1" s="1"/>
  <c r="N15" i="1"/>
  <c r="P15" i="1" s="1"/>
  <c r="U15" i="1" s="1"/>
  <c r="N36" i="1"/>
  <c r="P36" i="1" s="1"/>
  <c r="U36" i="1" s="1"/>
  <c r="N40" i="1"/>
  <c r="P40" i="1" s="1"/>
  <c r="U40" i="1" s="1"/>
  <c r="N20" i="1"/>
  <c r="P20" i="1" s="1"/>
  <c r="U20" i="1" s="1"/>
  <c r="N45" i="1"/>
  <c r="P45" i="1" s="1"/>
  <c r="U45" i="1" s="1"/>
  <c r="N8" i="1"/>
  <c r="P8" i="1" s="1"/>
  <c r="U8" i="1" s="1"/>
  <c r="N142" i="1"/>
  <c r="P142" i="1" s="1"/>
  <c r="U142" i="1" s="1"/>
  <c r="N35" i="1"/>
  <c r="P35" i="1" s="1"/>
  <c r="U35" i="1" s="1"/>
  <c r="N3" i="1"/>
  <c r="N49" i="1"/>
  <c r="P49" i="1" s="1"/>
  <c r="U49" i="1" s="1"/>
  <c r="N68" i="1"/>
  <c r="P68" i="1" s="1"/>
  <c r="U68" i="1" s="1"/>
  <c r="N115" i="1"/>
  <c r="P115" i="1" s="1"/>
  <c r="U115" i="1" s="1"/>
  <c r="N86" i="1"/>
  <c r="P86" i="1" s="1"/>
  <c r="U86" i="1" s="1"/>
  <c r="N41" i="1"/>
  <c r="P41" i="1" s="1"/>
  <c r="U41" i="1" s="1"/>
  <c r="N43" i="1"/>
  <c r="P43" i="1" s="1"/>
  <c r="U43" i="1" s="1"/>
  <c r="N62" i="1"/>
  <c r="P62" i="1" s="1"/>
  <c r="U62" i="1" s="1"/>
  <c r="N143" i="1"/>
  <c r="P143" i="1" s="1"/>
  <c r="U143" i="1" s="1"/>
  <c r="N132" i="1"/>
  <c r="P132" i="1" s="1"/>
  <c r="U132" i="1" s="1"/>
  <c r="N141" i="1"/>
  <c r="P141" i="1" s="1"/>
  <c r="U141" i="1" s="1"/>
  <c r="N30" i="1"/>
  <c r="P30" i="1" s="1"/>
  <c r="U30" i="1" s="1"/>
  <c r="N81" i="1"/>
  <c r="P81" i="1" s="1"/>
  <c r="U81" i="1" s="1"/>
  <c r="N14" i="1"/>
  <c r="P14" i="1" s="1"/>
  <c r="U14" i="1" s="1"/>
  <c r="N17" i="1"/>
  <c r="P17" i="1" s="1"/>
  <c r="U17" i="1" s="1"/>
  <c r="N101" i="1"/>
  <c r="P101" i="1" s="1"/>
  <c r="U101" i="1" s="1"/>
  <c r="N85" i="1"/>
  <c r="P85" i="1" s="1"/>
  <c r="U85" i="1" s="1"/>
  <c r="N114" i="1"/>
  <c r="P114" i="1" s="1"/>
  <c r="U114" i="1" s="1"/>
  <c r="N57" i="1"/>
  <c r="P57" i="1" s="1"/>
  <c r="U57" i="1" s="1"/>
  <c r="N105" i="1"/>
  <c r="P105" i="1" s="1"/>
  <c r="U105" i="1" s="1"/>
  <c r="N146" i="1"/>
  <c r="P146" i="1" s="1"/>
  <c r="U146" i="1" s="1"/>
  <c r="N61" i="1"/>
  <c r="P61" i="1" s="1"/>
  <c r="U61" i="1" s="1"/>
  <c r="N111" i="1"/>
  <c r="P111" i="1" s="1"/>
  <c r="U111" i="1" s="1"/>
  <c r="N65" i="1"/>
  <c r="P65" i="1" s="1"/>
  <c r="U65" i="1" s="1"/>
  <c r="N66" i="1"/>
  <c r="P66" i="1" s="1"/>
  <c r="U66" i="1" s="1"/>
  <c r="N134" i="1"/>
  <c r="P134" i="1" s="1"/>
  <c r="U134" i="1" s="1"/>
  <c r="N87" i="1"/>
  <c r="P87" i="1" s="1"/>
  <c r="U87" i="1" s="1"/>
  <c r="N113" i="1"/>
  <c r="P113" i="1" s="1"/>
  <c r="U113" i="1" s="1"/>
  <c r="N125" i="1"/>
  <c r="P125" i="1" s="1"/>
  <c r="U125" i="1" s="1"/>
  <c r="N159" i="1"/>
  <c r="P159" i="1" s="1"/>
  <c r="U159" i="1" s="1"/>
  <c r="P3" i="1" l="1"/>
  <c r="U3" i="1" s="1"/>
</calcChain>
</file>

<file path=xl/sharedStrings.xml><?xml version="1.0" encoding="utf-8"?>
<sst xmlns="http://schemas.openxmlformats.org/spreadsheetml/2006/main" count="472" uniqueCount="240">
  <si>
    <t>Orden</t>
  </si>
  <si>
    <t>Clave</t>
  </si>
  <si>
    <t>R/D</t>
  </si>
  <si>
    <t>B/D</t>
  </si>
  <si>
    <t>D</t>
  </si>
  <si>
    <t>h</t>
  </si>
  <si>
    <t>Angle</t>
  </si>
  <si>
    <t>R</t>
  </si>
  <si>
    <t>B</t>
  </si>
  <si>
    <t>G_1</t>
  </si>
  <si>
    <t>2k</t>
  </si>
  <si>
    <t>G_2</t>
  </si>
  <si>
    <t>LHS</t>
  </si>
  <si>
    <t>G_3</t>
  </si>
  <si>
    <t>G_4</t>
  </si>
  <si>
    <t>G_5</t>
  </si>
  <si>
    <t>G_6</t>
  </si>
  <si>
    <t>G_7</t>
  </si>
  <si>
    <t>G_8</t>
  </si>
  <si>
    <t>G_9</t>
  </si>
  <si>
    <t>G_10</t>
  </si>
  <si>
    <t>G_11</t>
  </si>
  <si>
    <t>G_12</t>
  </si>
  <si>
    <t>G_13</t>
  </si>
  <si>
    <t>G_14</t>
  </si>
  <si>
    <t>G_15</t>
  </si>
  <si>
    <t>G_16</t>
  </si>
  <si>
    <t>G_17</t>
  </si>
  <si>
    <t>G_18</t>
  </si>
  <si>
    <t>G_19</t>
  </si>
  <si>
    <t>G_20</t>
  </si>
  <si>
    <t>G_21</t>
  </si>
  <si>
    <t>G_22</t>
  </si>
  <si>
    <t>G_23</t>
  </si>
  <si>
    <t>G_24</t>
  </si>
  <si>
    <t>G_25</t>
  </si>
  <si>
    <t>G_26</t>
  </si>
  <si>
    <t>G_27</t>
  </si>
  <si>
    <t>G_28</t>
  </si>
  <si>
    <t>G_29</t>
  </si>
  <si>
    <t>G_30</t>
  </si>
  <si>
    <t>G_31</t>
  </si>
  <si>
    <t>G_32</t>
  </si>
  <si>
    <t>G_33</t>
  </si>
  <si>
    <t>G_34</t>
  </si>
  <si>
    <t>G_35</t>
  </si>
  <si>
    <t>G_36</t>
  </si>
  <si>
    <t>G_37</t>
  </si>
  <si>
    <t>G_38</t>
  </si>
  <si>
    <t>G_39</t>
  </si>
  <si>
    <t>G_40</t>
  </si>
  <si>
    <t>G_41</t>
  </si>
  <si>
    <t>G_42</t>
  </si>
  <si>
    <t>G_43</t>
  </si>
  <si>
    <t>G_44</t>
  </si>
  <si>
    <t>G_45</t>
  </si>
  <si>
    <t>G_46</t>
  </si>
  <si>
    <t>G_47</t>
  </si>
  <si>
    <t>G_48</t>
  </si>
  <si>
    <t>G_49</t>
  </si>
  <si>
    <t>G_50</t>
  </si>
  <si>
    <t>G_51</t>
  </si>
  <si>
    <t>G_52</t>
  </si>
  <si>
    <t>G_53</t>
  </si>
  <si>
    <t>G_54</t>
  </si>
  <si>
    <t>G_55</t>
  </si>
  <si>
    <t>G_56</t>
  </si>
  <si>
    <t>G_57</t>
  </si>
  <si>
    <t>G_58</t>
  </si>
  <si>
    <t>G_59</t>
  </si>
  <si>
    <t>G_60</t>
  </si>
  <si>
    <t>G_61</t>
  </si>
  <si>
    <t>G_62</t>
  </si>
  <si>
    <t>G_63</t>
  </si>
  <si>
    <t>G_64</t>
  </si>
  <si>
    <t>G_65</t>
  </si>
  <si>
    <t>G_66</t>
  </si>
  <si>
    <t>G_67</t>
  </si>
  <si>
    <t>G_68</t>
  </si>
  <si>
    <t>G_69</t>
  </si>
  <si>
    <t>G_70</t>
  </si>
  <si>
    <t>G_71</t>
  </si>
  <si>
    <t>G_72</t>
  </si>
  <si>
    <t>G_73</t>
  </si>
  <si>
    <t>G_74</t>
  </si>
  <si>
    <t>G_75</t>
  </si>
  <si>
    <t>G_76</t>
  </si>
  <si>
    <t>G_77</t>
  </si>
  <si>
    <t>G_78</t>
  </si>
  <si>
    <t>G_79</t>
  </si>
  <si>
    <t>G_80</t>
  </si>
  <si>
    <t>G_81</t>
  </si>
  <si>
    <t>G_82</t>
  </si>
  <si>
    <t>G_83</t>
  </si>
  <si>
    <t>G_84</t>
  </si>
  <si>
    <t>G_85</t>
  </si>
  <si>
    <t>G_86</t>
  </si>
  <si>
    <t>G_87</t>
  </si>
  <si>
    <t>G_88</t>
  </si>
  <si>
    <t>G_89</t>
  </si>
  <si>
    <t>G_90</t>
  </si>
  <si>
    <t>G_91</t>
  </si>
  <si>
    <t>G_92</t>
  </si>
  <si>
    <t>G_93</t>
  </si>
  <si>
    <t>G_94</t>
  </si>
  <si>
    <t>G_95</t>
  </si>
  <si>
    <t>G_96</t>
  </si>
  <si>
    <t>G_97</t>
  </si>
  <si>
    <t>G_98</t>
  </si>
  <si>
    <t>G_99</t>
  </si>
  <si>
    <t>G_100</t>
  </si>
  <si>
    <t>G_101</t>
  </si>
  <si>
    <t>G_102</t>
  </si>
  <si>
    <t>G_103</t>
  </si>
  <si>
    <t>G_104</t>
  </si>
  <si>
    <t>G_105</t>
  </si>
  <si>
    <t>G_106</t>
  </si>
  <si>
    <t>G_107</t>
  </si>
  <si>
    <t>G_108</t>
  </si>
  <si>
    <t>G_109</t>
  </si>
  <si>
    <t>G_110</t>
  </si>
  <si>
    <t>G_111</t>
  </si>
  <si>
    <t>G_112</t>
  </si>
  <si>
    <t>G_113</t>
  </si>
  <si>
    <t>G_114</t>
  </si>
  <si>
    <t>G_115</t>
  </si>
  <si>
    <t>G_116</t>
  </si>
  <si>
    <t>G_117</t>
  </si>
  <si>
    <t>G_118</t>
  </si>
  <si>
    <t>G_119</t>
  </si>
  <si>
    <t>G_120</t>
  </si>
  <si>
    <t>G_121</t>
  </si>
  <si>
    <t>G_122</t>
  </si>
  <si>
    <t>G_123</t>
  </si>
  <si>
    <t>G_124</t>
  </si>
  <si>
    <t>G_125</t>
  </si>
  <si>
    <t>G_126</t>
  </si>
  <si>
    <t>G_127</t>
  </si>
  <si>
    <t>G_128</t>
  </si>
  <si>
    <t>G_129</t>
  </si>
  <si>
    <t>G_130</t>
  </si>
  <si>
    <t>G_131</t>
  </si>
  <si>
    <t>G_132</t>
  </si>
  <si>
    <t>G_133</t>
  </si>
  <si>
    <t>G_134</t>
  </si>
  <si>
    <t>G_135</t>
  </si>
  <si>
    <t>G_136</t>
  </si>
  <si>
    <t>G_137</t>
  </si>
  <si>
    <t>G_138</t>
  </si>
  <si>
    <t>G_139</t>
  </si>
  <si>
    <t>G_140</t>
  </si>
  <si>
    <t>G_141</t>
  </si>
  <si>
    <t>G_142</t>
  </si>
  <si>
    <t>G_143</t>
  </si>
  <si>
    <t>G_144</t>
  </si>
  <si>
    <t>G_145</t>
  </si>
  <si>
    <t>G_146</t>
  </si>
  <si>
    <t>G_147</t>
  </si>
  <si>
    <t>G_148</t>
  </si>
  <si>
    <t>G_149</t>
  </si>
  <si>
    <t>G_150</t>
  </si>
  <si>
    <t>G_151</t>
  </si>
  <si>
    <t>G_152</t>
  </si>
  <si>
    <t>G_153</t>
  </si>
  <si>
    <t>G_154</t>
  </si>
  <si>
    <t>G_155</t>
  </si>
  <si>
    <t>G_156</t>
  </si>
  <si>
    <t>G_157</t>
  </si>
  <si>
    <t>G_158</t>
  </si>
  <si>
    <t>G_159</t>
  </si>
  <si>
    <t>CCD</t>
  </si>
  <si>
    <t>G_160</t>
  </si>
  <si>
    <t>G_161</t>
  </si>
  <si>
    <t>G_162</t>
  </si>
  <si>
    <t>G_163</t>
  </si>
  <si>
    <t>G_164</t>
  </si>
  <si>
    <t>G_165</t>
  </si>
  <si>
    <t>G_166</t>
  </si>
  <si>
    <t>G_167</t>
  </si>
  <si>
    <t>G_168</t>
  </si>
  <si>
    <t>G_169</t>
  </si>
  <si>
    <t>G_170</t>
  </si>
  <si>
    <t>G_171</t>
  </si>
  <si>
    <t>G_172</t>
  </si>
  <si>
    <t>G_173</t>
  </si>
  <si>
    <t>G_175</t>
  </si>
  <si>
    <t>G_176</t>
  </si>
  <si>
    <t>G_177</t>
  </si>
  <si>
    <t>G_178</t>
  </si>
  <si>
    <t>G_179</t>
  </si>
  <si>
    <t>G_180</t>
  </si>
  <si>
    <t>G_182</t>
  </si>
  <si>
    <t>G_185</t>
  </si>
  <si>
    <t>G_187</t>
  </si>
  <si>
    <t>G_188</t>
  </si>
  <si>
    <t>G_189</t>
  </si>
  <si>
    <t>G_190</t>
  </si>
  <si>
    <t>G_192</t>
  </si>
  <si>
    <t>G_194</t>
  </si>
  <si>
    <t>G_195</t>
  </si>
  <si>
    <t>G_197</t>
  </si>
  <si>
    <t>G_198</t>
  </si>
  <si>
    <t>G_199</t>
  </si>
  <si>
    <t>G_200</t>
  </si>
  <si>
    <t>G_201</t>
  </si>
  <si>
    <t>G_202</t>
  </si>
  <si>
    <t>G_203</t>
  </si>
  <si>
    <t>G_204</t>
  </si>
  <si>
    <t>G_205</t>
  </si>
  <si>
    <t>G_206</t>
  </si>
  <si>
    <t>G_208</t>
  </si>
  <si>
    <t>G_209</t>
  </si>
  <si>
    <t>G_210</t>
  </si>
  <si>
    <t>T_1</t>
  </si>
  <si>
    <t>T_2</t>
  </si>
  <si>
    <t>T_3</t>
  </si>
  <si>
    <t>T_4</t>
  </si>
  <si>
    <t>T_5</t>
  </si>
  <si>
    <t>T_6</t>
  </si>
  <si>
    <t>T_7</t>
  </si>
  <si>
    <t>T_8</t>
  </si>
  <si>
    <t>T_9</t>
  </si>
  <si>
    <t>T_10</t>
  </si>
  <si>
    <t>T_11</t>
  </si>
  <si>
    <t>T_12</t>
  </si>
  <si>
    <t>T_13</t>
  </si>
  <si>
    <t>T_14</t>
  </si>
  <si>
    <t>T_15</t>
  </si>
  <si>
    <t>T_16</t>
  </si>
  <si>
    <t>T_17</t>
  </si>
  <si>
    <t>T_18</t>
  </si>
  <si>
    <t>T_19</t>
  </si>
  <si>
    <t>T_20</t>
  </si>
  <si>
    <t>Type</t>
  </si>
  <si>
    <t>Angle (°)</t>
  </si>
  <si>
    <t>ID</t>
  </si>
  <si>
    <t>Generated combinations</t>
  </si>
  <si>
    <t>Constructed geometry</t>
  </si>
  <si>
    <t>Mapped ML input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</si>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</sst>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Fill="1"/>
    <xf numFmtId="0" fontId="1" fillId="0" borderId="0" xfId="0" applyFont="1" applyFill="1" applyAlignment="1">
      <alignment horizontal="center"/>
    </xf>
    <xf numFmtId="2" fontId="1" fillId="0" borderId="0" xfId="0" applyNumberFormat="1" applyFont="1" applyFill="1"/>
    <xf numFmtId="2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3269A-D17A-457F-AF23-6E6D854CF661}">
  <dimension ref="A1:Z223"/>
  <sheetViews>
    <sheetView tabSelected="1" workbookViewId="0">
      <pane ySplit="1" topLeftCell="A2" activePane="bottomLeft" state="frozen"/>
      <selection activeCell="C1" sqref="C1"/>
      <selection pane="bottomLeft" sqref="A1:C1"/>
    </sheetView>
  </sheetViews>
  <sheetFormatPr baseColWidth="10" defaultColWidth="10.77734375" defaultRowHeight="14.4" x14ac:dyDescent="0.3"/>
  <cols>
    <col min="1" max="1" width="6" style="1" bestFit="1" customWidth="1"/>
    <col min="2" max="2" width="6.21875" style="1" bestFit="1" customWidth="1"/>
    <col min="3" max="3" width="4.88671875" style="1" bestFit="1" customWidth="1"/>
    <col min="4" max="7" width="5" style="2" bestFit="1" customWidth="1"/>
    <col min="8" max="8" width="5.44140625" style="2" bestFit="1" customWidth="1"/>
    <col min="9" max="10" width="4.5546875" style="2" bestFit="1" customWidth="1"/>
    <col min="11" max="11" width="6.5546875" style="2" bestFit="1" customWidth="1"/>
    <col min="12" max="12" width="5.5546875" style="2" bestFit="1" customWidth="1"/>
    <col min="13" max="13" width="7.6640625" style="2" bestFit="1" customWidth="1"/>
    <col min="14" max="14" width="5" style="2" bestFit="1" customWidth="1"/>
    <col min="15" max="15" width="6" style="2" bestFit="1" customWidth="1"/>
    <col min="16" max="17" width="4.5546875" style="2" bestFit="1" customWidth="1"/>
    <col min="18" max="18" width="6.5546875" style="2" bestFit="1" customWidth="1"/>
    <col min="19" max="20" width="5.5546875" style="2" bestFit="1" customWidth="1"/>
    <col min="21" max="21" width="4.5546875" style="2" bestFit="1" customWidth="1"/>
    <col min="22" max="22" width="5.21875" style="2" bestFit="1" customWidth="1"/>
    <col min="23" max="23" width="4.5546875" style="2" bestFit="1" customWidth="1"/>
    <col min="24" max="24" width="5.21875" style="2" bestFit="1" customWidth="1"/>
    <col min="25" max="25" width="5.44140625" style="2" bestFit="1" customWidth="1"/>
    <col min="26" max="16384" width="10.77734375" style="2"/>
  </cols>
  <sheetData>
    <row r="1" spans="1:26" x14ac:dyDescent="0.3">
      <c r="A1" s="7" t="s">
        <v>235</v>
      </c>
      <c r="B1" s="7"/>
      <c r="C1" s="7"/>
      <c r="D1" s="6" t="s">
        <v>236</v>
      </c>
      <c r="E1" s="6"/>
      <c r="F1" s="6"/>
      <c r="G1" s="6"/>
      <c r="H1" s="6"/>
      <c r="I1" s="6" t="s">
        <v>237</v>
      </c>
      <c r="J1" s="6"/>
      <c r="K1" s="6"/>
      <c r="L1" s="6"/>
      <c r="M1" s="6"/>
      <c r="N1" s="6"/>
      <c r="O1" s="6"/>
      <c r="P1" s="6" t="s">
        <v>238</v>
      </c>
      <c r="Q1" s="6"/>
      <c r="R1" s="6"/>
      <c r="S1" s="6"/>
      <c r="T1" s="6"/>
      <c r="U1" s="6" t="s">
        <v>239</v>
      </c>
      <c r="V1" s="6"/>
      <c r="W1" s="6"/>
      <c r="X1" s="6"/>
      <c r="Y1" s="6"/>
    </row>
    <row r="2" spans="1:26" x14ac:dyDescent="0.3">
      <c r="A2" s="1" t="s">
        <v>0</v>
      </c>
      <c r="B2" s="1" t="s">
        <v>1</v>
      </c>
      <c r="C2" s="1" t="s">
        <v>233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2</v>
      </c>
      <c r="J2" s="2" t="s">
        <v>3</v>
      </c>
      <c r="K2" s="2" t="s">
        <v>4</v>
      </c>
      <c r="L2" s="2" t="s">
        <v>5</v>
      </c>
      <c r="M2" s="2" t="s">
        <v>234</v>
      </c>
      <c r="N2" s="3" t="s">
        <v>7</v>
      </c>
      <c r="O2" s="3" t="s">
        <v>8</v>
      </c>
      <c r="P2" s="2" t="s">
        <v>2</v>
      </c>
      <c r="Q2" s="2" t="s">
        <v>3</v>
      </c>
      <c r="R2" s="2" t="s">
        <v>4</v>
      </c>
      <c r="S2" s="2" t="s">
        <v>5</v>
      </c>
      <c r="T2" s="2" t="s">
        <v>6</v>
      </c>
      <c r="U2" s="2" t="s">
        <v>2</v>
      </c>
      <c r="V2" s="2" t="s">
        <v>3</v>
      </c>
      <c r="W2" s="2" t="s">
        <v>4</v>
      </c>
      <c r="X2" s="2" t="s">
        <v>5</v>
      </c>
      <c r="Y2" s="2" t="s">
        <v>6</v>
      </c>
      <c r="Z2" s="3"/>
    </row>
    <row r="3" spans="1:26" x14ac:dyDescent="0.3">
      <c r="A3" s="1">
        <v>1</v>
      </c>
      <c r="B3" s="1" t="s">
        <v>9</v>
      </c>
      <c r="C3" s="2" t="s">
        <v>10</v>
      </c>
      <c r="D3" s="2">
        <v>0.1</v>
      </c>
      <c r="E3" s="2">
        <v>1</v>
      </c>
      <c r="F3" s="2">
        <v>10</v>
      </c>
      <c r="G3" s="2">
        <v>5</v>
      </c>
      <c r="H3" s="2">
        <v>0</v>
      </c>
      <c r="I3" s="4">
        <f t="shared" ref="I3:I66" si="0">D3</f>
        <v>0.1</v>
      </c>
      <c r="J3" s="4">
        <f t="shared" ref="J3:L34" si="1">ROUND(E3,1)</f>
        <v>1</v>
      </c>
      <c r="K3" s="4">
        <f t="shared" si="1"/>
        <v>10</v>
      </c>
      <c r="L3" s="4">
        <f t="shared" si="1"/>
        <v>5</v>
      </c>
      <c r="M3" s="4">
        <f t="shared" ref="M3:M66" si="2">MROUND(H3,5)</f>
        <v>0</v>
      </c>
      <c r="N3" s="3">
        <f t="shared" ref="N3:N66" si="3">ROUND(I3*K3,1)</f>
        <v>1</v>
      </c>
      <c r="O3" s="3">
        <f t="shared" ref="O3:O66" si="4">ROUND(J3*K3,1)</f>
        <v>10</v>
      </c>
      <c r="P3" s="5">
        <f t="shared" ref="P3:P66" si="5">N3/K3</f>
        <v>0.1</v>
      </c>
      <c r="Q3" s="5">
        <f t="shared" ref="Q3:Q66" si="6">O3/K3</f>
        <v>1</v>
      </c>
      <c r="R3" s="5">
        <f t="shared" ref="R3:R66" si="7">K3</f>
        <v>10</v>
      </c>
      <c r="S3" s="5">
        <f t="shared" ref="S3:S66" si="8">L3</f>
        <v>5</v>
      </c>
      <c r="T3" s="5">
        <f t="shared" ref="T3:T66" si="9">M3</f>
        <v>0</v>
      </c>
      <c r="U3" s="5">
        <f t="shared" ref="U3:U66" si="10">P3-D3</f>
        <v>0</v>
      </c>
      <c r="V3" s="5">
        <f t="shared" ref="V3:V66" si="11">Q3-E3</f>
        <v>0</v>
      </c>
      <c r="W3" s="5">
        <f t="shared" ref="W3:W66" si="12">R3-F3</f>
        <v>0</v>
      </c>
      <c r="X3" s="5">
        <f t="shared" ref="X3:X66" si="13">S3-G3</f>
        <v>0</v>
      </c>
      <c r="Y3" s="5">
        <f t="shared" ref="Y3:Y66" si="14">T3-H3</f>
        <v>0</v>
      </c>
    </row>
    <row r="4" spans="1:26" x14ac:dyDescent="0.3">
      <c r="A4" s="1">
        <v>2</v>
      </c>
      <c r="B4" s="1" t="s">
        <v>11</v>
      </c>
      <c r="C4" s="2" t="s">
        <v>12</v>
      </c>
      <c r="D4" s="2">
        <v>0.26</v>
      </c>
      <c r="E4" s="2">
        <v>1.1599999999999999</v>
      </c>
      <c r="F4" s="2">
        <v>96.2</v>
      </c>
      <c r="G4" s="2">
        <v>21</v>
      </c>
      <c r="H4" s="2">
        <v>32.5</v>
      </c>
      <c r="I4" s="4">
        <f t="shared" si="0"/>
        <v>0.26</v>
      </c>
      <c r="J4" s="4">
        <f t="shared" si="1"/>
        <v>1.2</v>
      </c>
      <c r="K4" s="4">
        <f t="shared" si="1"/>
        <v>96.2</v>
      </c>
      <c r="L4" s="4">
        <f t="shared" si="1"/>
        <v>21</v>
      </c>
      <c r="M4" s="4">
        <f t="shared" si="2"/>
        <v>35</v>
      </c>
      <c r="N4" s="3">
        <f t="shared" si="3"/>
        <v>25</v>
      </c>
      <c r="O4" s="3">
        <f t="shared" si="4"/>
        <v>115.4</v>
      </c>
      <c r="P4" s="5">
        <f t="shared" si="5"/>
        <v>0.25987525987525989</v>
      </c>
      <c r="Q4" s="5">
        <f t="shared" si="6"/>
        <v>1.1995841995841996</v>
      </c>
      <c r="R4" s="5">
        <f t="shared" si="7"/>
        <v>96.2</v>
      </c>
      <c r="S4" s="5">
        <f t="shared" si="8"/>
        <v>21</v>
      </c>
      <c r="T4" s="5">
        <f t="shared" si="9"/>
        <v>35</v>
      </c>
      <c r="U4" s="5">
        <f t="shared" si="10"/>
        <v>-1.247401247401192E-4</v>
      </c>
      <c r="V4" s="5">
        <f t="shared" si="11"/>
        <v>3.9584199584199675E-2</v>
      </c>
      <c r="W4" s="5">
        <f t="shared" si="12"/>
        <v>0</v>
      </c>
      <c r="X4" s="5">
        <f t="shared" si="13"/>
        <v>0</v>
      </c>
      <c r="Y4" s="5">
        <f t="shared" si="14"/>
        <v>2.5</v>
      </c>
    </row>
    <row r="5" spans="1:26" x14ac:dyDescent="0.3">
      <c r="A5" s="1">
        <v>3</v>
      </c>
      <c r="B5" s="1" t="s">
        <v>13</v>
      </c>
      <c r="C5" s="2" t="s">
        <v>10</v>
      </c>
      <c r="D5" s="2">
        <v>0.1</v>
      </c>
      <c r="E5" s="2">
        <v>3</v>
      </c>
      <c r="F5" s="2">
        <v>10</v>
      </c>
      <c r="G5" s="2">
        <v>5</v>
      </c>
      <c r="H5" s="2">
        <v>0</v>
      </c>
      <c r="I5" s="4">
        <f t="shared" si="0"/>
        <v>0.1</v>
      </c>
      <c r="J5" s="4">
        <f t="shared" si="1"/>
        <v>3</v>
      </c>
      <c r="K5" s="4">
        <f t="shared" si="1"/>
        <v>10</v>
      </c>
      <c r="L5" s="4">
        <f t="shared" si="1"/>
        <v>5</v>
      </c>
      <c r="M5" s="4">
        <f t="shared" si="2"/>
        <v>0</v>
      </c>
      <c r="N5" s="3">
        <f t="shared" si="3"/>
        <v>1</v>
      </c>
      <c r="O5" s="3">
        <f t="shared" si="4"/>
        <v>30</v>
      </c>
      <c r="P5" s="5">
        <f t="shared" si="5"/>
        <v>0.1</v>
      </c>
      <c r="Q5" s="5">
        <f t="shared" si="6"/>
        <v>3</v>
      </c>
      <c r="R5" s="5">
        <f t="shared" si="7"/>
        <v>10</v>
      </c>
      <c r="S5" s="5">
        <f t="shared" si="8"/>
        <v>5</v>
      </c>
      <c r="T5" s="5">
        <f t="shared" si="9"/>
        <v>0</v>
      </c>
      <c r="U5" s="5">
        <f t="shared" si="10"/>
        <v>0</v>
      </c>
      <c r="V5" s="5">
        <f t="shared" si="11"/>
        <v>0</v>
      </c>
      <c r="W5" s="5">
        <f t="shared" si="12"/>
        <v>0</v>
      </c>
      <c r="X5" s="5">
        <f t="shared" si="13"/>
        <v>0</v>
      </c>
      <c r="Y5" s="5">
        <f t="shared" si="14"/>
        <v>0</v>
      </c>
    </row>
    <row r="6" spans="1:26" x14ac:dyDescent="0.3">
      <c r="A6" s="1">
        <v>4</v>
      </c>
      <c r="B6" s="1" t="s">
        <v>14</v>
      </c>
      <c r="C6" s="2" t="s">
        <v>10</v>
      </c>
      <c r="D6" s="2">
        <v>0.1</v>
      </c>
      <c r="E6" s="2">
        <v>3</v>
      </c>
      <c r="F6" s="2">
        <v>100</v>
      </c>
      <c r="G6" s="2">
        <v>5</v>
      </c>
      <c r="H6" s="2">
        <v>90</v>
      </c>
      <c r="I6" s="4">
        <f t="shared" si="0"/>
        <v>0.1</v>
      </c>
      <c r="J6" s="4">
        <f t="shared" si="1"/>
        <v>3</v>
      </c>
      <c r="K6" s="4">
        <f t="shared" si="1"/>
        <v>100</v>
      </c>
      <c r="L6" s="4">
        <f t="shared" si="1"/>
        <v>5</v>
      </c>
      <c r="M6" s="4">
        <f t="shared" si="2"/>
        <v>90</v>
      </c>
      <c r="N6" s="3">
        <f t="shared" si="3"/>
        <v>10</v>
      </c>
      <c r="O6" s="3">
        <f t="shared" si="4"/>
        <v>300</v>
      </c>
      <c r="P6" s="5">
        <f t="shared" si="5"/>
        <v>0.1</v>
      </c>
      <c r="Q6" s="5">
        <f t="shared" si="6"/>
        <v>3</v>
      </c>
      <c r="R6" s="5">
        <f t="shared" si="7"/>
        <v>100</v>
      </c>
      <c r="S6" s="5">
        <f t="shared" si="8"/>
        <v>5</v>
      </c>
      <c r="T6" s="5">
        <f t="shared" si="9"/>
        <v>90</v>
      </c>
      <c r="U6" s="5">
        <f t="shared" si="10"/>
        <v>0</v>
      </c>
      <c r="V6" s="5">
        <f t="shared" si="11"/>
        <v>0</v>
      </c>
      <c r="W6" s="5">
        <f t="shared" si="12"/>
        <v>0</v>
      </c>
      <c r="X6" s="5">
        <f t="shared" si="13"/>
        <v>0</v>
      </c>
      <c r="Y6" s="5">
        <f t="shared" si="14"/>
        <v>0</v>
      </c>
    </row>
    <row r="7" spans="1:26" x14ac:dyDescent="0.3">
      <c r="A7" s="1">
        <v>5</v>
      </c>
      <c r="B7" s="1" t="s">
        <v>15</v>
      </c>
      <c r="C7" s="2" t="s">
        <v>12</v>
      </c>
      <c r="D7" s="2">
        <v>0.1</v>
      </c>
      <c r="E7" s="2">
        <v>2.4300000000000002</v>
      </c>
      <c r="F7" s="2">
        <v>92.1</v>
      </c>
      <c r="G7" s="2">
        <v>16.399999999999999</v>
      </c>
      <c r="H7" s="2">
        <v>6.29</v>
      </c>
      <c r="I7" s="4">
        <f t="shared" si="0"/>
        <v>0.1</v>
      </c>
      <c r="J7" s="4">
        <f t="shared" si="1"/>
        <v>2.4</v>
      </c>
      <c r="K7" s="4">
        <f t="shared" si="1"/>
        <v>92.1</v>
      </c>
      <c r="L7" s="4">
        <f t="shared" si="1"/>
        <v>16.399999999999999</v>
      </c>
      <c r="M7" s="4">
        <f t="shared" si="2"/>
        <v>5</v>
      </c>
      <c r="N7" s="3">
        <f t="shared" si="3"/>
        <v>9.1999999999999993</v>
      </c>
      <c r="O7" s="3">
        <f t="shared" si="4"/>
        <v>221</v>
      </c>
      <c r="P7" s="5">
        <f t="shared" si="5"/>
        <v>9.9891422366992402E-2</v>
      </c>
      <c r="Q7" s="5">
        <f t="shared" si="6"/>
        <v>2.3995656894679698</v>
      </c>
      <c r="R7" s="5">
        <f t="shared" si="7"/>
        <v>92.1</v>
      </c>
      <c r="S7" s="5">
        <f t="shared" si="8"/>
        <v>16.399999999999999</v>
      </c>
      <c r="T7" s="5">
        <f t="shared" si="9"/>
        <v>5</v>
      </c>
      <c r="U7" s="5">
        <f t="shared" si="10"/>
        <v>-1.0857763300760326E-4</v>
      </c>
      <c r="V7" s="5">
        <f t="shared" si="11"/>
        <v>-3.0434310532030384E-2</v>
      </c>
      <c r="W7" s="5">
        <f t="shared" si="12"/>
        <v>0</v>
      </c>
      <c r="X7" s="5">
        <f t="shared" si="13"/>
        <v>0</v>
      </c>
      <c r="Y7" s="5">
        <f t="shared" si="14"/>
        <v>-1.29</v>
      </c>
    </row>
    <row r="8" spans="1:26" x14ac:dyDescent="0.3">
      <c r="A8" s="1">
        <v>6</v>
      </c>
      <c r="B8" s="1" t="s">
        <v>16</v>
      </c>
      <c r="C8" s="2" t="s">
        <v>12</v>
      </c>
      <c r="D8" s="2">
        <v>0.11</v>
      </c>
      <c r="E8" s="2">
        <v>1.92</v>
      </c>
      <c r="F8" s="2">
        <v>86.1</v>
      </c>
      <c r="G8" s="2">
        <v>22.7</v>
      </c>
      <c r="H8" s="2">
        <v>58.8</v>
      </c>
      <c r="I8" s="4">
        <f t="shared" si="0"/>
        <v>0.11</v>
      </c>
      <c r="J8" s="4">
        <f t="shared" si="1"/>
        <v>1.9</v>
      </c>
      <c r="K8" s="4">
        <f t="shared" si="1"/>
        <v>86.1</v>
      </c>
      <c r="L8" s="4">
        <f t="shared" si="1"/>
        <v>22.7</v>
      </c>
      <c r="M8" s="4">
        <f t="shared" si="2"/>
        <v>60</v>
      </c>
      <c r="N8" s="3">
        <f t="shared" si="3"/>
        <v>9.5</v>
      </c>
      <c r="O8" s="3">
        <f t="shared" si="4"/>
        <v>163.6</v>
      </c>
      <c r="P8" s="5">
        <f t="shared" si="5"/>
        <v>0.11033681765389083</v>
      </c>
      <c r="Q8" s="5">
        <f t="shared" si="6"/>
        <v>1.9001161440185832</v>
      </c>
      <c r="R8" s="5">
        <f t="shared" si="7"/>
        <v>86.1</v>
      </c>
      <c r="S8" s="5">
        <f t="shared" si="8"/>
        <v>22.7</v>
      </c>
      <c r="T8" s="5">
        <f t="shared" si="9"/>
        <v>60</v>
      </c>
      <c r="U8" s="5">
        <f t="shared" si="10"/>
        <v>3.3681765389083351E-4</v>
      </c>
      <c r="V8" s="5">
        <f t="shared" si="11"/>
        <v>-1.9883855981416731E-2</v>
      </c>
      <c r="W8" s="5">
        <f t="shared" si="12"/>
        <v>0</v>
      </c>
      <c r="X8" s="5">
        <f t="shared" si="13"/>
        <v>0</v>
      </c>
      <c r="Y8" s="5">
        <f t="shared" si="14"/>
        <v>1.2000000000000028</v>
      </c>
    </row>
    <row r="9" spans="1:26" x14ac:dyDescent="0.3">
      <c r="A9" s="1">
        <v>7</v>
      </c>
      <c r="B9" s="1" t="s">
        <v>17</v>
      </c>
      <c r="C9" s="2" t="s">
        <v>12</v>
      </c>
      <c r="D9" s="2">
        <v>0.36</v>
      </c>
      <c r="E9" s="2">
        <v>1.18</v>
      </c>
      <c r="F9" s="2">
        <v>52.5</v>
      </c>
      <c r="G9" s="2">
        <v>7.85</v>
      </c>
      <c r="H9" s="2">
        <v>87.6</v>
      </c>
      <c r="I9" s="4">
        <f t="shared" si="0"/>
        <v>0.36</v>
      </c>
      <c r="J9" s="4">
        <f t="shared" si="1"/>
        <v>1.2</v>
      </c>
      <c r="K9" s="4">
        <f t="shared" si="1"/>
        <v>52.5</v>
      </c>
      <c r="L9" s="4">
        <f t="shared" si="1"/>
        <v>7.9</v>
      </c>
      <c r="M9" s="4">
        <f t="shared" si="2"/>
        <v>90</v>
      </c>
      <c r="N9" s="3">
        <f t="shared" si="3"/>
        <v>18.899999999999999</v>
      </c>
      <c r="O9" s="3">
        <f t="shared" si="4"/>
        <v>63</v>
      </c>
      <c r="P9" s="5">
        <f t="shared" si="5"/>
        <v>0.36</v>
      </c>
      <c r="Q9" s="5">
        <f t="shared" si="6"/>
        <v>1.2</v>
      </c>
      <c r="R9" s="5">
        <f t="shared" si="7"/>
        <v>52.5</v>
      </c>
      <c r="S9" s="5">
        <f t="shared" si="8"/>
        <v>7.9</v>
      </c>
      <c r="T9" s="5">
        <f t="shared" si="9"/>
        <v>90</v>
      </c>
      <c r="U9" s="5">
        <f t="shared" si="10"/>
        <v>0</v>
      </c>
      <c r="V9" s="5">
        <f t="shared" si="11"/>
        <v>2.0000000000000018E-2</v>
      </c>
      <c r="W9" s="5">
        <f t="shared" si="12"/>
        <v>0</v>
      </c>
      <c r="X9" s="5">
        <f t="shared" si="13"/>
        <v>5.0000000000000711E-2</v>
      </c>
      <c r="Y9" s="5">
        <f t="shared" si="14"/>
        <v>2.4000000000000057</v>
      </c>
    </row>
    <row r="10" spans="1:26" x14ac:dyDescent="0.3">
      <c r="A10" s="1">
        <v>8</v>
      </c>
      <c r="B10" s="1" t="s">
        <v>18</v>
      </c>
      <c r="C10" s="2" t="s">
        <v>12</v>
      </c>
      <c r="D10" s="2">
        <v>0.16</v>
      </c>
      <c r="E10" s="2">
        <v>1.03</v>
      </c>
      <c r="F10" s="2">
        <v>97.7</v>
      </c>
      <c r="G10" s="2">
        <v>13.3</v>
      </c>
      <c r="H10" s="2">
        <v>49.9</v>
      </c>
      <c r="I10" s="4">
        <f t="shared" si="0"/>
        <v>0.16</v>
      </c>
      <c r="J10" s="4">
        <f t="shared" si="1"/>
        <v>1</v>
      </c>
      <c r="K10" s="4">
        <f t="shared" si="1"/>
        <v>97.7</v>
      </c>
      <c r="L10" s="4">
        <f t="shared" si="1"/>
        <v>13.3</v>
      </c>
      <c r="M10" s="4">
        <f t="shared" si="2"/>
        <v>50</v>
      </c>
      <c r="N10" s="3">
        <f t="shared" si="3"/>
        <v>15.6</v>
      </c>
      <c r="O10" s="3">
        <f t="shared" si="4"/>
        <v>97.7</v>
      </c>
      <c r="P10" s="5">
        <f t="shared" si="5"/>
        <v>0.15967246673490276</v>
      </c>
      <c r="Q10" s="5">
        <f t="shared" si="6"/>
        <v>1</v>
      </c>
      <c r="R10" s="5">
        <f t="shared" si="7"/>
        <v>97.7</v>
      </c>
      <c r="S10" s="5">
        <f t="shared" si="8"/>
        <v>13.3</v>
      </c>
      <c r="T10" s="5">
        <f t="shared" si="9"/>
        <v>50</v>
      </c>
      <c r="U10" s="5">
        <f t="shared" si="10"/>
        <v>-3.2753326509724068E-4</v>
      </c>
      <c r="V10" s="5">
        <f t="shared" si="11"/>
        <v>-3.0000000000000027E-2</v>
      </c>
      <c r="W10" s="5">
        <f t="shared" si="12"/>
        <v>0</v>
      </c>
      <c r="X10" s="5">
        <f t="shared" si="13"/>
        <v>0</v>
      </c>
      <c r="Y10" s="5">
        <f t="shared" si="14"/>
        <v>0.10000000000000142</v>
      </c>
    </row>
    <row r="11" spans="1:26" x14ac:dyDescent="0.3">
      <c r="A11" s="1">
        <v>9</v>
      </c>
      <c r="B11" s="1" t="s">
        <v>19</v>
      </c>
      <c r="C11" s="2" t="s">
        <v>12</v>
      </c>
      <c r="D11" s="2">
        <v>0.47</v>
      </c>
      <c r="E11" s="2">
        <v>2.75</v>
      </c>
      <c r="F11" s="2">
        <v>34.1</v>
      </c>
      <c r="G11" s="2">
        <v>23.9</v>
      </c>
      <c r="H11" s="2">
        <v>6.87</v>
      </c>
      <c r="I11" s="4">
        <f t="shared" si="0"/>
        <v>0.47</v>
      </c>
      <c r="J11" s="4">
        <f t="shared" si="1"/>
        <v>2.8</v>
      </c>
      <c r="K11" s="4">
        <f t="shared" si="1"/>
        <v>34.1</v>
      </c>
      <c r="L11" s="4">
        <f t="shared" si="1"/>
        <v>23.9</v>
      </c>
      <c r="M11" s="4">
        <f t="shared" si="2"/>
        <v>5</v>
      </c>
      <c r="N11" s="3">
        <f t="shared" si="3"/>
        <v>16</v>
      </c>
      <c r="O11" s="3">
        <f t="shared" si="4"/>
        <v>95.5</v>
      </c>
      <c r="P11" s="5">
        <f t="shared" si="5"/>
        <v>0.46920821114369499</v>
      </c>
      <c r="Q11" s="5">
        <f t="shared" si="6"/>
        <v>2.8005865102639294</v>
      </c>
      <c r="R11" s="5">
        <f t="shared" si="7"/>
        <v>34.1</v>
      </c>
      <c r="S11" s="5">
        <f t="shared" si="8"/>
        <v>23.9</v>
      </c>
      <c r="T11" s="5">
        <f t="shared" si="9"/>
        <v>5</v>
      </c>
      <c r="U11" s="5">
        <f t="shared" si="10"/>
        <v>-7.9178885630498685E-4</v>
      </c>
      <c r="V11" s="5">
        <f t="shared" si="11"/>
        <v>5.0586510263929352E-2</v>
      </c>
      <c r="W11" s="5">
        <f t="shared" si="12"/>
        <v>0</v>
      </c>
      <c r="X11" s="5">
        <f t="shared" si="13"/>
        <v>0</v>
      </c>
      <c r="Y11" s="5">
        <f t="shared" si="14"/>
        <v>-1.87</v>
      </c>
    </row>
    <row r="12" spans="1:26" x14ac:dyDescent="0.3">
      <c r="A12" s="1">
        <v>10</v>
      </c>
      <c r="B12" s="1" t="s">
        <v>20</v>
      </c>
      <c r="C12" s="2" t="s">
        <v>10</v>
      </c>
      <c r="D12" s="2">
        <v>0.1</v>
      </c>
      <c r="E12" s="2">
        <v>3</v>
      </c>
      <c r="F12" s="2">
        <v>100</v>
      </c>
      <c r="G12" s="2">
        <v>25</v>
      </c>
      <c r="H12" s="2">
        <v>0</v>
      </c>
      <c r="I12" s="4">
        <f t="shared" si="0"/>
        <v>0.1</v>
      </c>
      <c r="J12" s="4">
        <f t="shared" si="1"/>
        <v>3</v>
      </c>
      <c r="K12" s="4">
        <f t="shared" si="1"/>
        <v>100</v>
      </c>
      <c r="L12" s="4">
        <f t="shared" si="1"/>
        <v>25</v>
      </c>
      <c r="M12" s="4">
        <f t="shared" si="2"/>
        <v>0</v>
      </c>
      <c r="N12" s="3">
        <f t="shared" si="3"/>
        <v>10</v>
      </c>
      <c r="O12" s="3">
        <f t="shared" si="4"/>
        <v>300</v>
      </c>
      <c r="P12" s="5">
        <f t="shared" si="5"/>
        <v>0.1</v>
      </c>
      <c r="Q12" s="5">
        <f t="shared" si="6"/>
        <v>3</v>
      </c>
      <c r="R12" s="5">
        <f t="shared" si="7"/>
        <v>100</v>
      </c>
      <c r="S12" s="5">
        <f t="shared" si="8"/>
        <v>25</v>
      </c>
      <c r="T12" s="5">
        <f t="shared" si="9"/>
        <v>0</v>
      </c>
      <c r="U12" s="5">
        <f t="shared" si="10"/>
        <v>0</v>
      </c>
      <c r="V12" s="5">
        <f t="shared" si="11"/>
        <v>0</v>
      </c>
      <c r="W12" s="5">
        <f t="shared" si="12"/>
        <v>0</v>
      </c>
      <c r="X12" s="5">
        <f t="shared" si="13"/>
        <v>0</v>
      </c>
      <c r="Y12" s="5">
        <f t="shared" si="14"/>
        <v>0</v>
      </c>
    </row>
    <row r="13" spans="1:26" x14ac:dyDescent="0.3">
      <c r="A13" s="1">
        <v>11</v>
      </c>
      <c r="B13" s="1" t="s">
        <v>21</v>
      </c>
      <c r="C13" s="2" t="s">
        <v>12</v>
      </c>
      <c r="D13" s="2">
        <v>0.27</v>
      </c>
      <c r="E13" s="2">
        <v>2.0699999999999998</v>
      </c>
      <c r="F13" s="2">
        <v>59.6</v>
      </c>
      <c r="G13" s="2">
        <v>12.8</v>
      </c>
      <c r="H13" s="2">
        <v>8.44</v>
      </c>
      <c r="I13" s="4">
        <f t="shared" si="0"/>
        <v>0.27</v>
      </c>
      <c r="J13" s="4">
        <f t="shared" si="1"/>
        <v>2.1</v>
      </c>
      <c r="K13" s="4">
        <f t="shared" si="1"/>
        <v>59.6</v>
      </c>
      <c r="L13" s="4">
        <f t="shared" si="1"/>
        <v>12.8</v>
      </c>
      <c r="M13" s="4">
        <f t="shared" si="2"/>
        <v>10</v>
      </c>
      <c r="N13" s="3">
        <f t="shared" si="3"/>
        <v>16.100000000000001</v>
      </c>
      <c r="O13" s="3">
        <f t="shared" si="4"/>
        <v>125.2</v>
      </c>
      <c r="P13" s="5">
        <f t="shared" si="5"/>
        <v>0.27013422818791949</v>
      </c>
      <c r="Q13" s="5">
        <f t="shared" si="6"/>
        <v>2.1006711409395975</v>
      </c>
      <c r="R13" s="5">
        <f t="shared" si="7"/>
        <v>59.6</v>
      </c>
      <c r="S13" s="5">
        <f t="shared" si="8"/>
        <v>12.8</v>
      </c>
      <c r="T13" s="5">
        <f t="shared" si="9"/>
        <v>10</v>
      </c>
      <c r="U13" s="5">
        <f t="shared" si="10"/>
        <v>1.3422818791947178E-4</v>
      </c>
      <c r="V13" s="5">
        <f t="shared" si="11"/>
        <v>3.0671140939597663E-2</v>
      </c>
      <c r="W13" s="5">
        <f t="shared" si="12"/>
        <v>0</v>
      </c>
      <c r="X13" s="5">
        <f t="shared" si="13"/>
        <v>0</v>
      </c>
      <c r="Y13" s="5">
        <f t="shared" si="14"/>
        <v>1.5600000000000005</v>
      </c>
    </row>
    <row r="14" spans="1:26" x14ac:dyDescent="0.3">
      <c r="A14" s="1">
        <v>12</v>
      </c>
      <c r="B14" s="1" t="s">
        <v>22</v>
      </c>
      <c r="C14" s="2" t="s">
        <v>12</v>
      </c>
      <c r="D14" s="2">
        <v>0.35</v>
      </c>
      <c r="E14" s="2">
        <v>2.06</v>
      </c>
      <c r="F14" s="2">
        <v>23.9</v>
      </c>
      <c r="G14" s="2">
        <v>10.6</v>
      </c>
      <c r="H14" s="2">
        <v>35.9</v>
      </c>
      <c r="I14" s="4">
        <f t="shared" si="0"/>
        <v>0.35</v>
      </c>
      <c r="J14" s="4">
        <f t="shared" si="1"/>
        <v>2.1</v>
      </c>
      <c r="K14" s="4">
        <f t="shared" si="1"/>
        <v>23.9</v>
      </c>
      <c r="L14" s="4">
        <f t="shared" si="1"/>
        <v>10.6</v>
      </c>
      <c r="M14" s="4">
        <f t="shared" si="2"/>
        <v>35</v>
      </c>
      <c r="N14" s="3">
        <f t="shared" si="3"/>
        <v>8.4</v>
      </c>
      <c r="O14" s="3">
        <f t="shared" si="4"/>
        <v>50.2</v>
      </c>
      <c r="P14" s="5">
        <f t="shared" si="5"/>
        <v>0.35146443514644354</v>
      </c>
      <c r="Q14" s="5">
        <f t="shared" si="6"/>
        <v>2.1004184100418413</v>
      </c>
      <c r="R14" s="5">
        <f t="shared" si="7"/>
        <v>23.9</v>
      </c>
      <c r="S14" s="5">
        <f t="shared" si="8"/>
        <v>10.6</v>
      </c>
      <c r="T14" s="5">
        <f t="shared" si="9"/>
        <v>35</v>
      </c>
      <c r="U14" s="5">
        <f t="shared" si="10"/>
        <v>1.4644351464435656E-3</v>
      </c>
      <c r="V14" s="5">
        <f t="shared" si="11"/>
        <v>4.0418410041841213E-2</v>
      </c>
      <c r="W14" s="5">
        <f t="shared" si="12"/>
        <v>0</v>
      </c>
      <c r="X14" s="5">
        <f t="shared" si="13"/>
        <v>0</v>
      </c>
      <c r="Y14" s="5">
        <f t="shared" si="14"/>
        <v>-0.89999999999999858</v>
      </c>
    </row>
    <row r="15" spans="1:26" x14ac:dyDescent="0.3">
      <c r="A15" s="1">
        <v>13</v>
      </c>
      <c r="B15" s="1" t="s">
        <v>23</v>
      </c>
      <c r="C15" s="2" t="s">
        <v>12</v>
      </c>
      <c r="D15" s="2">
        <v>0.4</v>
      </c>
      <c r="E15" s="2">
        <v>2.1</v>
      </c>
      <c r="F15" s="2">
        <v>88.6</v>
      </c>
      <c r="G15" s="2">
        <v>14.4</v>
      </c>
      <c r="H15" s="2">
        <v>30.5</v>
      </c>
      <c r="I15" s="4">
        <f t="shared" si="0"/>
        <v>0.4</v>
      </c>
      <c r="J15" s="4">
        <f t="shared" si="1"/>
        <v>2.1</v>
      </c>
      <c r="K15" s="4">
        <f t="shared" si="1"/>
        <v>88.6</v>
      </c>
      <c r="L15" s="4">
        <f t="shared" si="1"/>
        <v>14.4</v>
      </c>
      <c r="M15" s="4">
        <f t="shared" si="2"/>
        <v>30</v>
      </c>
      <c r="N15" s="3">
        <f t="shared" si="3"/>
        <v>35.4</v>
      </c>
      <c r="O15" s="3">
        <f t="shared" si="4"/>
        <v>186.1</v>
      </c>
      <c r="P15" s="5">
        <f t="shared" si="5"/>
        <v>0.39954853273137697</v>
      </c>
      <c r="Q15" s="5">
        <f t="shared" si="6"/>
        <v>2.100451467268623</v>
      </c>
      <c r="R15" s="5">
        <f t="shared" si="7"/>
        <v>88.6</v>
      </c>
      <c r="S15" s="5">
        <f t="shared" si="8"/>
        <v>14.4</v>
      </c>
      <c r="T15" s="5">
        <f t="shared" si="9"/>
        <v>30</v>
      </c>
      <c r="U15" s="5">
        <f t="shared" si="10"/>
        <v>-4.5146726862305142E-4</v>
      </c>
      <c r="V15" s="5">
        <f t="shared" si="11"/>
        <v>4.5146726862288489E-4</v>
      </c>
      <c r="W15" s="5">
        <f t="shared" si="12"/>
        <v>0</v>
      </c>
      <c r="X15" s="5">
        <f t="shared" si="13"/>
        <v>0</v>
      </c>
      <c r="Y15" s="5">
        <f t="shared" si="14"/>
        <v>-0.5</v>
      </c>
    </row>
    <row r="16" spans="1:26" x14ac:dyDescent="0.3">
      <c r="A16" s="1">
        <v>14</v>
      </c>
      <c r="B16" s="1" t="s">
        <v>24</v>
      </c>
      <c r="C16" s="2" t="s">
        <v>12</v>
      </c>
      <c r="D16" s="2">
        <v>0.25</v>
      </c>
      <c r="E16" s="2">
        <v>2.17</v>
      </c>
      <c r="F16" s="2">
        <v>66.900000000000006</v>
      </c>
      <c r="G16" s="2">
        <v>21.7</v>
      </c>
      <c r="H16" s="2">
        <v>38.799999999999997</v>
      </c>
      <c r="I16" s="4">
        <f t="shared" si="0"/>
        <v>0.25</v>
      </c>
      <c r="J16" s="4">
        <f t="shared" si="1"/>
        <v>2.2000000000000002</v>
      </c>
      <c r="K16" s="4">
        <f t="shared" si="1"/>
        <v>66.900000000000006</v>
      </c>
      <c r="L16" s="4">
        <f t="shared" si="1"/>
        <v>21.7</v>
      </c>
      <c r="M16" s="4">
        <f t="shared" si="2"/>
        <v>40</v>
      </c>
      <c r="N16" s="3">
        <f t="shared" si="3"/>
        <v>16.7</v>
      </c>
      <c r="O16" s="3">
        <f t="shared" si="4"/>
        <v>147.19999999999999</v>
      </c>
      <c r="P16" s="5">
        <f t="shared" si="5"/>
        <v>0.24962630792227203</v>
      </c>
      <c r="Q16" s="5">
        <f t="shared" si="6"/>
        <v>2.2002989536621822</v>
      </c>
      <c r="R16" s="5">
        <f t="shared" si="7"/>
        <v>66.900000000000006</v>
      </c>
      <c r="S16" s="5">
        <f t="shared" si="8"/>
        <v>21.7</v>
      </c>
      <c r="T16" s="5">
        <f t="shared" si="9"/>
        <v>40</v>
      </c>
      <c r="U16" s="5">
        <f t="shared" si="10"/>
        <v>-3.7369207772797175E-4</v>
      </c>
      <c r="V16" s="5">
        <f t="shared" si="11"/>
        <v>3.0298953662182271E-2</v>
      </c>
      <c r="W16" s="5">
        <f t="shared" si="12"/>
        <v>0</v>
      </c>
      <c r="X16" s="5">
        <f t="shared" si="13"/>
        <v>0</v>
      </c>
      <c r="Y16" s="5">
        <f t="shared" si="14"/>
        <v>1.2000000000000028</v>
      </c>
    </row>
    <row r="17" spans="1:25" x14ac:dyDescent="0.3">
      <c r="A17" s="1">
        <v>15</v>
      </c>
      <c r="B17" s="1" t="s">
        <v>25</v>
      </c>
      <c r="C17" s="2" t="s">
        <v>12</v>
      </c>
      <c r="D17" s="2">
        <v>0.2</v>
      </c>
      <c r="E17" s="2">
        <v>1.24</v>
      </c>
      <c r="F17" s="2">
        <v>81.099999999999994</v>
      </c>
      <c r="G17" s="2">
        <v>5.08</v>
      </c>
      <c r="H17" s="2">
        <v>43.1</v>
      </c>
      <c r="I17" s="4">
        <f t="shared" si="0"/>
        <v>0.2</v>
      </c>
      <c r="J17" s="4">
        <f t="shared" si="1"/>
        <v>1.2</v>
      </c>
      <c r="K17" s="4">
        <f t="shared" si="1"/>
        <v>81.099999999999994</v>
      </c>
      <c r="L17" s="4">
        <f t="shared" si="1"/>
        <v>5.0999999999999996</v>
      </c>
      <c r="M17" s="4">
        <f t="shared" si="2"/>
        <v>45</v>
      </c>
      <c r="N17" s="3">
        <f t="shared" si="3"/>
        <v>16.2</v>
      </c>
      <c r="O17" s="3">
        <f t="shared" si="4"/>
        <v>97.3</v>
      </c>
      <c r="P17" s="5">
        <f t="shared" si="5"/>
        <v>0.1997533908754624</v>
      </c>
      <c r="Q17" s="5">
        <f t="shared" si="6"/>
        <v>1.1997533908754625</v>
      </c>
      <c r="R17" s="5">
        <f t="shared" si="7"/>
        <v>81.099999999999994</v>
      </c>
      <c r="S17" s="5">
        <f t="shared" si="8"/>
        <v>5.0999999999999996</v>
      </c>
      <c r="T17" s="5">
        <f t="shared" si="9"/>
        <v>45</v>
      </c>
      <c r="U17" s="5">
        <f t="shared" si="10"/>
        <v>-2.4660912453761119E-4</v>
      </c>
      <c r="V17" s="5">
        <f t="shared" si="11"/>
        <v>-4.024660912453748E-2</v>
      </c>
      <c r="W17" s="5">
        <f t="shared" si="12"/>
        <v>0</v>
      </c>
      <c r="X17" s="5">
        <f t="shared" si="13"/>
        <v>1.9999999999999574E-2</v>
      </c>
      <c r="Y17" s="5">
        <f t="shared" si="14"/>
        <v>1.8999999999999986</v>
      </c>
    </row>
    <row r="18" spans="1:25" x14ac:dyDescent="0.3">
      <c r="A18" s="1">
        <v>16</v>
      </c>
      <c r="B18" s="1" t="s">
        <v>26</v>
      </c>
      <c r="C18" s="2" t="s">
        <v>12</v>
      </c>
      <c r="D18" s="2">
        <v>0.33</v>
      </c>
      <c r="E18" s="2">
        <v>1.85</v>
      </c>
      <c r="F18" s="2">
        <v>89.4</v>
      </c>
      <c r="G18" s="2">
        <v>6.73</v>
      </c>
      <c r="H18" s="2">
        <v>26.2</v>
      </c>
      <c r="I18" s="4">
        <f t="shared" si="0"/>
        <v>0.33</v>
      </c>
      <c r="J18" s="4">
        <f t="shared" si="1"/>
        <v>1.9</v>
      </c>
      <c r="K18" s="4">
        <f t="shared" si="1"/>
        <v>89.4</v>
      </c>
      <c r="L18" s="4">
        <f t="shared" si="1"/>
        <v>6.7</v>
      </c>
      <c r="M18" s="4">
        <f t="shared" si="2"/>
        <v>25</v>
      </c>
      <c r="N18" s="3">
        <f t="shared" si="3"/>
        <v>29.5</v>
      </c>
      <c r="O18" s="3">
        <f t="shared" si="4"/>
        <v>169.9</v>
      </c>
      <c r="P18" s="5">
        <f t="shared" si="5"/>
        <v>0.32997762863534674</v>
      </c>
      <c r="Q18" s="5">
        <f t="shared" si="6"/>
        <v>1.9004474272930649</v>
      </c>
      <c r="R18" s="5">
        <f t="shared" si="7"/>
        <v>89.4</v>
      </c>
      <c r="S18" s="5">
        <f t="shared" si="8"/>
        <v>6.7</v>
      </c>
      <c r="T18" s="5">
        <f t="shared" si="9"/>
        <v>25</v>
      </c>
      <c r="U18" s="5">
        <f t="shared" si="10"/>
        <v>-2.2371364653273051E-5</v>
      </c>
      <c r="V18" s="5">
        <f t="shared" si="11"/>
        <v>5.0447427293064839E-2</v>
      </c>
      <c r="W18" s="5">
        <f t="shared" si="12"/>
        <v>0</v>
      </c>
      <c r="X18" s="5">
        <f t="shared" si="13"/>
        <v>-3.0000000000000249E-2</v>
      </c>
      <c r="Y18" s="5">
        <f t="shared" si="14"/>
        <v>-1.1999999999999993</v>
      </c>
    </row>
    <row r="19" spans="1:25" x14ac:dyDescent="0.3">
      <c r="A19" s="1">
        <v>17</v>
      </c>
      <c r="B19" s="1" t="s">
        <v>27</v>
      </c>
      <c r="C19" s="2" t="s">
        <v>12</v>
      </c>
      <c r="D19" s="2">
        <v>0.1</v>
      </c>
      <c r="E19" s="2">
        <v>1.1100000000000001</v>
      </c>
      <c r="F19" s="2">
        <v>42.6</v>
      </c>
      <c r="G19" s="2">
        <v>23.8</v>
      </c>
      <c r="H19" s="2">
        <v>54.3</v>
      </c>
      <c r="I19" s="4">
        <f t="shared" si="0"/>
        <v>0.1</v>
      </c>
      <c r="J19" s="4">
        <f t="shared" si="1"/>
        <v>1.1000000000000001</v>
      </c>
      <c r="K19" s="4">
        <f t="shared" si="1"/>
        <v>42.6</v>
      </c>
      <c r="L19" s="4">
        <f t="shared" si="1"/>
        <v>23.8</v>
      </c>
      <c r="M19" s="4">
        <f t="shared" si="2"/>
        <v>55</v>
      </c>
      <c r="N19" s="3">
        <f t="shared" si="3"/>
        <v>4.3</v>
      </c>
      <c r="O19" s="3">
        <f t="shared" si="4"/>
        <v>46.9</v>
      </c>
      <c r="P19" s="5">
        <f t="shared" si="5"/>
        <v>0.10093896713615022</v>
      </c>
      <c r="Q19" s="5">
        <f t="shared" si="6"/>
        <v>1.1009389671361502</v>
      </c>
      <c r="R19" s="5">
        <f t="shared" si="7"/>
        <v>42.6</v>
      </c>
      <c r="S19" s="5">
        <f t="shared" si="8"/>
        <v>23.8</v>
      </c>
      <c r="T19" s="5">
        <f t="shared" si="9"/>
        <v>55</v>
      </c>
      <c r="U19" s="5">
        <f t="shared" si="10"/>
        <v>9.3896713615021499E-4</v>
      </c>
      <c r="V19" s="5">
        <f t="shared" si="11"/>
        <v>-9.0610328638498494E-3</v>
      </c>
      <c r="W19" s="5">
        <f t="shared" si="12"/>
        <v>0</v>
      </c>
      <c r="X19" s="5">
        <f t="shared" si="13"/>
        <v>0</v>
      </c>
      <c r="Y19" s="5">
        <f t="shared" si="14"/>
        <v>0.70000000000000284</v>
      </c>
    </row>
    <row r="20" spans="1:25" x14ac:dyDescent="0.3">
      <c r="A20" s="1">
        <v>18</v>
      </c>
      <c r="B20" s="1" t="s">
        <v>28</v>
      </c>
      <c r="C20" s="2" t="s">
        <v>12</v>
      </c>
      <c r="D20" s="2">
        <v>0.48</v>
      </c>
      <c r="E20" s="2">
        <v>2.89</v>
      </c>
      <c r="F20" s="2">
        <v>98.3</v>
      </c>
      <c r="G20" s="2">
        <v>11.7</v>
      </c>
      <c r="H20" s="2">
        <v>68.7</v>
      </c>
      <c r="I20" s="4">
        <f t="shared" si="0"/>
        <v>0.48</v>
      </c>
      <c r="J20" s="4">
        <f t="shared" si="1"/>
        <v>2.9</v>
      </c>
      <c r="K20" s="4">
        <f t="shared" si="1"/>
        <v>98.3</v>
      </c>
      <c r="L20" s="4">
        <f t="shared" si="1"/>
        <v>11.7</v>
      </c>
      <c r="M20" s="4">
        <f t="shared" si="2"/>
        <v>70</v>
      </c>
      <c r="N20" s="3">
        <f t="shared" si="3"/>
        <v>47.2</v>
      </c>
      <c r="O20" s="3">
        <f t="shared" si="4"/>
        <v>285.10000000000002</v>
      </c>
      <c r="P20" s="5">
        <f t="shared" si="5"/>
        <v>0.48016276703967453</v>
      </c>
      <c r="Q20" s="5">
        <f t="shared" si="6"/>
        <v>2.9003051881993898</v>
      </c>
      <c r="R20" s="5">
        <f t="shared" si="7"/>
        <v>98.3</v>
      </c>
      <c r="S20" s="5">
        <f t="shared" si="8"/>
        <v>11.7</v>
      </c>
      <c r="T20" s="5">
        <f t="shared" si="9"/>
        <v>70</v>
      </c>
      <c r="U20" s="5">
        <f t="shared" si="10"/>
        <v>1.6276703967454953E-4</v>
      </c>
      <c r="V20" s="5">
        <f t="shared" si="11"/>
        <v>1.0305188199389637E-2</v>
      </c>
      <c r="W20" s="5">
        <f t="shared" si="12"/>
        <v>0</v>
      </c>
      <c r="X20" s="5">
        <f t="shared" si="13"/>
        <v>0</v>
      </c>
      <c r="Y20" s="5">
        <f t="shared" si="14"/>
        <v>1.2999999999999972</v>
      </c>
    </row>
    <row r="21" spans="1:25" x14ac:dyDescent="0.3">
      <c r="A21" s="1">
        <v>19</v>
      </c>
      <c r="B21" s="1" t="s">
        <v>29</v>
      </c>
      <c r="C21" s="2" t="s">
        <v>10</v>
      </c>
      <c r="D21" s="2">
        <v>0.5</v>
      </c>
      <c r="E21" s="2">
        <v>3</v>
      </c>
      <c r="F21" s="2">
        <v>100</v>
      </c>
      <c r="G21" s="2">
        <v>25</v>
      </c>
      <c r="H21" s="2">
        <v>0</v>
      </c>
      <c r="I21" s="4">
        <f t="shared" si="0"/>
        <v>0.5</v>
      </c>
      <c r="J21" s="4">
        <f t="shared" si="1"/>
        <v>3</v>
      </c>
      <c r="K21" s="4">
        <f t="shared" si="1"/>
        <v>100</v>
      </c>
      <c r="L21" s="4">
        <f t="shared" si="1"/>
        <v>25</v>
      </c>
      <c r="M21" s="4">
        <f t="shared" si="2"/>
        <v>0</v>
      </c>
      <c r="N21" s="3">
        <f t="shared" si="3"/>
        <v>50</v>
      </c>
      <c r="O21" s="3">
        <f t="shared" si="4"/>
        <v>300</v>
      </c>
      <c r="P21" s="5">
        <f t="shared" si="5"/>
        <v>0.5</v>
      </c>
      <c r="Q21" s="5">
        <f t="shared" si="6"/>
        <v>3</v>
      </c>
      <c r="R21" s="5">
        <f t="shared" si="7"/>
        <v>100</v>
      </c>
      <c r="S21" s="5">
        <f t="shared" si="8"/>
        <v>25</v>
      </c>
      <c r="T21" s="5">
        <f t="shared" si="9"/>
        <v>0</v>
      </c>
      <c r="U21" s="5">
        <f t="shared" si="10"/>
        <v>0</v>
      </c>
      <c r="V21" s="5">
        <f t="shared" si="11"/>
        <v>0</v>
      </c>
      <c r="W21" s="5">
        <f t="shared" si="12"/>
        <v>0</v>
      </c>
      <c r="X21" s="5">
        <f t="shared" si="13"/>
        <v>0</v>
      </c>
      <c r="Y21" s="5">
        <f t="shared" si="14"/>
        <v>0</v>
      </c>
    </row>
    <row r="22" spans="1:25" x14ac:dyDescent="0.3">
      <c r="A22" s="1">
        <v>20</v>
      </c>
      <c r="B22" s="1" t="s">
        <v>30</v>
      </c>
      <c r="C22" s="2" t="s">
        <v>12</v>
      </c>
      <c r="D22" s="2">
        <v>0.16</v>
      </c>
      <c r="E22" s="2">
        <v>1.82</v>
      </c>
      <c r="F22" s="2">
        <v>60.6</v>
      </c>
      <c r="G22" s="2">
        <v>19.899999999999999</v>
      </c>
      <c r="H22" s="2">
        <v>9.76</v>
      </c>
      <c r="I22" s="4">
        <f t="shared" si="0"/>
        <v>0.16</v>
      </c>
      <c r="J22" s="4">
        <f t="shared" si="1"/>
        <v>1.8</v>
      </c>
      <c r="K22" s="4">
        <f t="shared" si="1"/>
        <v>60.6</v>
      </c>
      <c r="L22" s="4">
        <f t="shared" si="1"/>
        <v>19.899999999999999</v>
      </c>
      <c r="M22" s="4">
        <f t="shared" si="2"/>
        <v>10</v>
      </c>
      <c r="N22" s="3">
        <f t="shared" si="3"/>
        <v>9.6999999999999993</v>
      </c>
      <c r="O22" s="3">
        <f t="shared" si="4"/>
        <v>109.1</v>
      </c>
      <c r="P22" s="5">
        <f t="shared" si="5"/>
        <v>0.16006600660066006</v>
      </c>
      <c r="Q22" s="5">
        <f t="shared" si="6"/>
        <v>1.8003300330033003</v>
      </c>
      <c r="R22" s="5">
        <f t="shared" si="7"/>
        <v>60.6</v>
      </c>
      <c r="S22" s="5">
        <f t="shared" si="8"/>
        <v>19.899999999999999</v>
      </c>
      <c r="T22" s="5">
        <f t="shared" si="9"/>
        <v>10</v>
      </c>
      <c r="U22" s="5">
        <f t="shared" si="10"/>
        <v>6.6006600660056813E-5</v>
      </c>
      <c r="V22" s="5">
        <f t="shared" si="11"/>
        <v>-1.9669966996699761E-2</v>
      </c>
      <c r="W22" s="5">
        <f t="shared" si="12"/>
        <v>0</v>
      </c>
      <c r="X22" s="5">
        <f t="shared" si="13"/>
        <v>0</v>
      </c>
      <c r="Y22" s="5">
        <f t="shared" si="14"/>
        <v>0.24000000000000021</v>
      </c>
    </row>
    <row r="23" spans="1:25" x14ac:dyDescent="0.3">
      <c r="A23" s="1">
        <v>21</v>
      </c>
      <c r="B23" s="1" t="s">
        <v>31</v>
      </c>
      <c r="C23" s="2" t="s">
        <v>12</v>
      </c>
      <c r="D23" s="2">
        <v>0.18</v>
      </c>
      <c r="E23" s="2">
        <v>1.93</v>
      </c>
      <c r="F23" s="2">
        <v>45.3</v>
      </c>
      <c r="G23" s="2">
        <v>15.6</v>
      </c>
      <c r="H23" s="2">
        <v>29.3</v>
      </c>
      <c r="I23" s="4">
        <f t="shared" si="0"/>
        <v>0.18</v>
      </c>
      <c r="J23" s="4">
        <f t="shared" si="1"/>
        <v>1.9</v>
      </c>
      <c r="K23" s="4">
        <f t="shared" si="1"/>
        <v>45.3</v>
      </c>
      <c r="L23" s="4">
        <f t="shared" si="1"/>
        <v>15.6</v>
      </c>
      <c r="M23" s="4">
        <f t="shared" si="2"/>
        <v>30</v>
      </c>
      <c r="N23" s="3">
        <f t="shared" si="3"/>
        <v>8.1999999999999993</v>
      </c>
      <c r="O23" s="3">
        <f t="shared" si="4"/>
        <v>86.1</v>
      </c>
      <c r="P23" s="5">
        <f t="shared" si="5"/>
        <v>0.18101545253863136</v>
      </c>
      <c r="Q23" s="5">
        <f t="shared" si="6"/>
        <v>1.9006622516556291</v>
      </c>
      <c r="R23" s="5">
        <f t="shared" si="7"/>
        <v>45.3</v>
      </c>
      <c r="S23" s="5">
        <f t="shared" si="8"/>
        <v>15.6</v>
      </c>
      <c r="T23" s="5">
        <f t="shared" si="9"/>
        <v>30</v>
      </c>
      <c r="U23" s="5">
        <f t="shared" si="10"/>
        <v>1.0154525386313618E-3</v>
      </c>
      <c r="V23" s="5">
        <f t="shared" si="11"/>
        <v>-2.9337748344370862E-2</v>
      </c>
      <c r="W23" s="5">
        <f t="shared" si="12"/>
        <v>0</v>
      </c>
      <c r="X23" s="5">
        <f t="shared" si="13"/>
        <v>0</v>
      </c>
      <c r="Y23" s="5">
        <f t="shared" si="14"/>
        <v>0.69999999999999929</v>
      </c>
    </row>
    <row r="24" spans="1:25" x14ac:dyDescent="0.3">
      <c r="A24" s="1">
        <v>22</v>
      </c>
      <c r="B24" s="1" t="s">
        <v>32</v>
      </c>
      <c r="C24" s="2" t="s">
        <v>12</v>
      </c>
      <c r="D24" s="2">
        <v>0.28000000000000003</v>
      </c>
      <c r="E24" s="2">
        <v>2.35</v>
      </c>
      <c r="F24" s="2">
        <v>56.9</v>
      </c>
      <c r="G24" s="2">
        <v>15.3</v>
      </c>
      <c r="H24" s="2">
        <v>88.1</v>
      </c>
      <c r="I24" s="4">
        <f t="shared" si="0"/>
        <v>0.28000000000000003</v>
      </c>
      <c r="J24" s="4">
        <f t="shared" si="1"/>
        <v>2.4</v>
      </c>
      <c r="K24" s="4">
        <f t="shared" si="1"/>
        <v>56.9</v>
      </c>
      <c r="L24" s="4">
        <f t="shared" si="1"/>
        <v>15.3</v>
      </c>
      <c r="M24" s="4">
        <f t="shared" si="2"/>
        <v>90</v>
      </c>
      <c r="N24" s="3">
        <f t="shared" si="3"/>
        <v>15.9</v>
      </c>
      <c r="O24" s="3">
        <f t="shared" si="4"/>
        <v>136.6</v>
      </c>
      <c r="P24" s="5">
        <f t="shared" si="5"/>
        <v>0.27943760984182781</v>
      </c>
      <c r="Q24" s="5">
        <f t="shared" si="6"/>
        <v>2.4007029876977151</v>
      </c>
      <c r="R24" s="5">
        <f t="shared" si="7"/>
        <v>56.9</v>
      </c>
      <c r="S24" s="5">
        <f t="shared" si="8"/>
        <v>15.3</v>
      </c>
      <c r="T24" s="5">
        <f t="shared" si="9"/>
        <v>90</v>
      </c>
      <c r="U24" s="5">
        <f t="shared" si="10"/>
        <v>-5.6239015817222127E-4</v>
      </c>
      <c r="V24" s="5">
        <f t="shared" si="11"/>
        <v>5.0702987697714974E-2</v>
      </c>
      <c r="W24" s="5">
        <f t="shared" si="12"/>
        <v>0</v>
      </c>
      <c r="X24" s="5">
        <f t="shared" si="13"/>
        <v>0</v>
      </c>
      <c r="Y24" s="5">
        <f t="shared" si="14"/>
        <v>1.9000000000000057</v>
      </c>
    </row>
    <row r="25" spans="1:25" x14ac:dyDescent="0.3">
      <c r="A25" s="1">
        <v>23</v>
      </c>
      <c r="B25" s="1" t="s">
        <v>33</v>
      </c>
      <c r="C25" s="2" t="s">
        <v>12</v>
      </c>
      <c r="D25" s="2">
        <v>0.39</v>
      </c>
      <c r="E25" s="2">
        <v>1.1499999999999999</v>
      </c>
      <c r="F25" s="2">
        <v>56.3</v>
      </c>
      <c r="G25" s="2">
        <v>15.2</v>
      </c>
      <c r="H25" s="2">
        <v>84.3</v>
      </c>
      <c r="I25" s="4">
        <f t="shared" si="0"/>
        <v>0.39</v>
      </c>
      <c r="J25" s="4">
        <f t="shared" si="1"/>
        <v>1.2</v>
      </c>
      <c r="K25" s="4">
        <f t="shared" si="1"/>
        <v>56.3</v>
      </c>
      <c r="L25" s="4">
        <f t="shared" si="1"/>
        <v>15.2</v>
      </c>
      <c r="M25" s="4">
        <f t="shared" si="2"/>
        <v>85</v>
      </c>
      <c r="N25" s="3">
        <f t="shared" si="3"/>
        <v>22</v>
      </c>
      <c r="O25" s="3">
        <f t="shared" si="4"/>
        <v>67.599999999999994</v>
      </c>
      <c r="P25" s="5">
        <f t="shared" si="5"/>
        <v>0.39076376554174069</v>
      </c>
      <c r="Q25" s="5">
        <f t="shared" si="6"/>
        <v>1.2007104795737122</v>
      </c>
      <c r="R25" s="5">
        <f t="shared" si="7"/>
        <v>56.3</v>
      </c>
      <c r="S25" s="5">
        <f t="shared" si="8"/>
        <v>15.2</v>
      </c>
      <c r="T25" s="5">
        <f t="shared" si="9"/>
        <v>85</v>
      </c>
      <c r="U25" s="5">
        <f t="shared" si="10"/>
        <v>7.6376554174067968E-4</v>
      </c>
      <c r="V25" s="5">
        <f t="shared" si="11"/>
        <v>5.071047957371233E-2</v>
      </c>
      <c r="W25" s="5">
        <f t="shared" si="12"/>
        <v>0</v>
      </c>
      <c r="X25" s="5">
        <f t="shared" si="13"/>
        <v>0</v>
      </c>
      <c r="Y25" s="5">
        <f t="shared" si="14"/>
        <v>0.70000000000000284</v>
      </c>
    </row>
    <row r="26" spans="1:25" x14ac:dyDescent="0.3">
      <c r="A26" s="1">
        <v>24</v>
      </c>
      <c r="B26" s="1" t="s">
        <v>34</v>
      </c>
      <c r="C26" s="2" t="s">
        <v>12</v>
      </c>
      <c r="D26" s="2">
        <v>0.45</v>
      </c>
      <c r="E26" s="2">
        <v>1.45</v>
      </c>
      <c r="F26" s="2">
        <v>86.5</v>
      </c>
      <c r="G26" s="2">
        <v>22.3</v>
      </c>
      <c r="H26" s="2">
        <v>53.5</v>
      </c>
      <c r="I26" s="4">
        <f t="shared" si="0"/>
        <v>0.45</v>
      </c>
      <c r="J26" s="4">
        <f t="shared" si="1"/>
        <v>1.5</v>
      </c>
      <c r="K26" s="4">
        <f t="shared" si="1"/>
        <v>86.5</v>
      </c>
      <c r="L26" s="4">
        <f t="shared" si="1"/>
        <v>22.3</v>
      </c>
      <c r="M26" s="4">
        <f t="shared" si="2"/>
        <v>55</v>
      </c>
      <c r="N26" s="3">
        <f t="shared" si="3"/>
        <v>38.9</v>
      </c>
      <c r="O26" s="3">
        <f t="shared" si="4"/>
        <v>129.80000000000001</v>
      </c>
      <c r="P26" s="5">
        <f t="shared" si="5"/>
        <v>0.44971098265895953</v>
      </c>
      <c r="Q26" s="5">
        <f t="shared" si="6"/>
        <v>1.500578034682081</v>
      </c>
      <c r="R26" s="5">
        <f t="shared" si="7"/>
        <v>86.5</v>
      </c>
      <c r="S26" s="5">
        <f t="shared" si="8"/>
        <v>22.3</v>
      </c>
      <c r="T26" s="5">
        <f t="shared" si="9"/>
        <v>55</v>
      </c>
      <c r="U26" s="5">
        <f t="shared" si="10"/>
        <v>-2.8901734104047616E-4</v>
      </c>
      <c r="V26" s="5">
        <f t="shared" si="11"/>
        <v>5.0578034682080997E-2</v>
      </c>
      <c r="W26" s="5">
        <f t="shared" si="12"/>
        <v>0</v>
      </c>
      <c r="X26" s="5">
        <f t="shared" si="13"/>
        <v>0</v>
      </c>
      <c r="Y26" s="5">
        <f t="shared" si="14"/>
        <v>1.5</v>
      </c>
    </row>
    <row r="27" spans="1:25" x14ac:dyDescent="0.3">
      <c r="A27" s="1">
        <v>25</v>
      </c>
      <c r="B27" s="1" t="s">
        <v>35</v>
      </c>
      <c r="C27" s="2" t="s">
        <v>12</v>
      </c>
      <c r="D27" s="2">
        <v>0.25</v>
      </c>
      <c r="E27" s="2">
        <v>1.7</v>
      </c>
      <c r="F27" s="2">
        <v>33.299999999999997</v>
      </c>
      <c r="G27" s="2">
        <v>11.5</v>
      </c>
      <c r="H27" s="2">
        <v>36.799999999999997</v>
      </c>
      <c r="I27" s="4">
        <f t="shared" si="0"/>
        <v>0.25</v>
      </c>
      <c r="J27" s="4">
        <f t="shared" si="1"/>
        <v>1.7</v>
      </c>
      <c r="K27" s="4">
        <f t="shared" si="1"/>
        <v>33.299999999999997</v>
      </c>
      <c r="L27" s="4">
        <f t="shared" si="1"/>
        <v>11.5</v>
      </c>
      <c r="M27" s="4">
        <f t="shared" si="2"/>
        <v>35</v>
      </c>
      <c r="N27" s="3">
        <f t="shared" si="3"/>
        <v>8.3000000000000007</v>
      </c>
      <c r="O27" s="3">
        <f t="shared" si="4"/>
        <v>56.6</v>
      </c>
      <c r="P27" s="5">
        <f t="shared" si="5"/>
        <v>0.24924924924924929</v>
      </c>
      <c r="Q27" s="5">
        <f t="shared" si="6"/>
        <v>1.6996996996996998</v>
      </c>
      <c r="R27" s="5">
        <f t="shared" si="7"/>
        <v>33.299999999999997</v>
      </c>
      <c r="S27" s="5">
        <f t="shared" si="8"/>
        <v>11.5</v>
      </c>
      <c r="T27" s="5">
        <f t="shared" si="9"/>
        <v>35</v>
      </c>
      <c r="U27" s="5">
        <f t="shared" si="10"/>
        <v>-7.5075075075070608E-4</v>
      </c>
      <c r="V27" s="5">
        <f t="shared" si="11"/>
        <v>-3.003003003001492E-4</v>
      </c>
      <c r="W27" s="5">
        <f t="shared" si="12"/>
        <v>0</v>
      </c>
      <c r="X27" s="5">
        <f t="shared" si="13"/>
        <v>0</v>
      </c>
      <c r="Y27" s="5">
        <f t="shared" si="14"/>
        <v>-1.7999999999999972</v>
      </c>
    </row>
    <row r="28" spans="1:25" x14ac:dyDescent="0.3">
      <c r="A28" s="1">
        <v>26</v>
      </c>
      <c r="B28" s="1" t="s">
        <v>36</v>
      </c>
      <c r="C28" s="2" t="s">
        <v>12</v>
      </c>
      <c r="D28" s="2">
        <v>0.41</v>
      </c>
      <c r="E28" s="2">
        <v>2.6</v>
      </c>
      <c r="F28" s="2">
        <v>58.1</v>
      </c>
      <c r="G28" s="2">
        <v>17.2</v>
      </c>
      <c r="H28" s="2">
        <v>59.5</v>
      </c>
      <c r="I28" s="4">
        <f t="shared" si="0"/>
        <v>0.41</v>
      </c>
      <c r="J28" s="4">
        <f t="shared" si="1"/>
        <v>2.6</v>
      </c>
      <c r="K28" s="4">
        <f t="shared" si="1"/>
        <v>58.1</v>
      </c>
      <c r="L28" s="4">
        <f t="shared" si="1"/>
        <v>17.2</v>
      </c>
      <c r="M28" s="4">
        <f t="shared" si="2"/>
        <v>60</v>
      </c>
      <c r="N28" s="3">
        <f t="shared" si="3"/>
        <v>23.8</v>
      </c>
      <c r="O28" s="3">
        <f t="shared" si="4"/>
        <v>151.1</v>
      </c>
      <c r="P28" s="5">
        <f t="shared" si="5"/>
        <v>0.40963855421686746</v>
      </c>
      <c r="Q28" s="5">
        <f t="shared" si="6"/>
        <v>2.6006884681583475</v>
      </c>
      <c r="R28" s="5">
        <f t="shared" si="7"/>
        <v>58.1</v>
      </c>
      <c r="S28" s="5">
        <f t="shared" si="8"/>
        <v>17.2</v>
      </c>
      <c r="T28" s="5">
        <f t="shared" si="9"/>
        <v>60</v>
      </c>
      <c r="U28" s="5">
        <f t="shared" si="10"/>
        <v>-3.6144578313251907E-4</v>
      </c>
      <c r="V28" s="5">
        <f t="shared" si="11"/>
        <v>6.884681583474439E-4</v>
      </c>
      <c r="W28" s="5">
        <f t="shared" si="12"/>
        <v>0</v>
      </c>
      <c r="X28" s="5">
        <f t="shared" si="13"/>
        <v>0</v>
      </c>
      <c r="Y28" s="5">
        <f t="shared" si="14"/>
        <v>0.5</v>
      </c>
    </row>
    <row r="29" spans="1:25" x14ac:dyDescent="0.3">
      <c r="A29" s="1">
        <v>27</v>
      </c>
      <c r="B29" s="1" t="s">
        <v>37</v>
      </c>
      <c r="C29" s="2" t="s">
        <v>12</v>
      </c>
      <c r="D29" s="2">
        <v>0.24</v>
      </c>
      <c r="E29" s="2">
        <v>1.63</v>
      </c>
      <c r="F29" s="2">
        <v>77.5</v>
      </c>
      <c r="G29" s="2">
        <v>13.8</v>
      </c>
      <c r="H29" s="2">
        <v>35.200000000000003</v>
      </c>
      <c r="I29" s="4">
        <f t="shared" si="0"/>
        <v>0.24</v>
      </c>
      <c r="J29" s="4">
        <f t="shared" si="1"/>
        <v>1.6</v>
      </c>
      <c r="K29" s="4">
        <f t="shared" si="1"/>
        <v>77.5</v>
      </c>
      <c r="L29" s="4">
        <f t="shared" si="1"/>
        <v>13.8</v>
      </c>
      <c r="M29" s="4">
        <f t="shared" si="2"/>
        <v>35</v>
      </c>
      <c r="N29" s="3">
        <f t="shared" si="3"/>
        <v>18.600000000000001</v>
      </c>
      <c r="O29" s="3">
        <f t="shared" si="4"/>
        <v>124</v>
      </c>
      <c r="P29" s="5">
        <f t="shared" si="5"/>
        <v>0.24000000000000002</v>
      </c>
      <c r="Q29" s="5">
        <f t="shared" si="6"/>
        <v>1.6</v>
      </c>
      <c r="R29" s="5">
        <f t="shared" si="7"/>
        <v>77.5</v>
      </c>
      <c r="S29" s="5">
        <f t="shared" si="8"/>
        <v>13.8</v>
      </c>
      <c r="T29" s="5">
        <f t="shared" si="9"/>
        <v>35</v>
      </c>
      <c r="U29" s="5">
        <f t="shared" si="10"/>
        <v>0</v>
      </c>
      <c r="V29" s="5">
        <f t="shared" si="11"/>
        <v>-2.9999999999999805E-2</v>
      </c>
      <c r="W29" s="5">
        <f t="shared" si="12"/>
        <v>0</v>
      </c>
      <c r="X29" s="5">
        <f t="shared" si="13"/>
        <v>0</v>
      </c>
      <c r="Y29" s="5">
        <f t="shared" si="14"/>
        <v>-0.20000000000000284</v>
      </c>
    </row>
    <row r="30" spans="1:25" x14ac:dyDescent="0.3">
      <c r="A30" s="1">
        <v>28</v>
      </c>
      <c r="B30" s="1" t="s">
        <v>38</v>
      </c>
      <c r="C30" s="2" t="s">
        <v>10</v>
      </c>
      <c r="D30" s="2">
        <v>0.1</v>
      </c>
      <c r="E30" s="2">
        <v>1</v>
      </c>
      <c r="F30" s="2">
        <v>10</v>
      </c>
      <c r="G30" s="2">
        <v>25</v>
      </c>
      <c r="H30" s="2">
        <v>90</v>
      </c>
      <c r="I30" s="4">
        <f t="shared" si="0"/>
        <v>0.1</v>
      </c>
      <c r="J30" s="4">
        <f t="shared" si="1"/>
        <v>1</v>
      </c>
      <c r="K30" s="4">
        <f t="shared" si="1"/>
        <v>10</v>
      </c>
      <c r="L30" s="4">
        <f t="shared" si="1"/>
        <v>25</v>
      </c>
      <c r="M30" s="4">
        <f t="shared" si="2"/>
        <v>90</v>
      </c>
      <c r="N30" s="3">
        <f t="shared" si="3"/>
        <v>1</v>
      </c>
      <c r="O30" s="3">
        <f t="shared" si="4"/>
        <v>10</v>
      </c>
      <c r="P30" s="5">
        <f t="shared" si="5"/>
        <v>0.1</v>
      </c>
      <c r="Q30" s="5">
        <f t="shared" si="6"/>
        <v>1</v>
      </c>
      <c r="R30" s="5">
        <f t="shared" si="7"/>
        <v>10</v>
      </c>
      <c r="S30" s="5">
        <f t="shared" si="8"/>
        <v>25</v>
      </c>
      <c r="T30" s="5">
        <f t="shared" si="9"/>
        <v>90</v>
      </c>
      <c r="U30" s="5">
        <f t="shared" si="10"/>
        <v>0</v>
      </c>
      <c r="V30" s="5">
        <f t="shared" si="11"/>
        <v>0</v>
      </c>
      <c r="W30" s="5">
        <f t="shared" si="12"/>
        <v>0</v>
      </c>
      <c r="X30" s="5">
        <f t="shared" si="13"/>
        <v>0</v>
      </c>
      <c r="Y30" s="5">
        <f t="shared" si="14"/>
        <v>0</v>
      </c>
    </row>
    <row r="31" spans="1:25" x14ac:dyDescent="0.3">
      <c r="A31" s="1">
        <v>29</v>
      </c>
      <c r="B31" s="1" t="s">
        <v>39</v>
      </c>
      <c r="C31" s="2" t="s">
        <v>10</v>
      </c>
      <c r="D31" s="2">
        <v>0.5</v>
      </c>
      <c r="E31" s="2">
        <v>1</v>
      </c>
      <c r="F31" s="2">
        <v>100</v>
      </c>
      <c r="G31" s="2">
        <v>5</v>
      </c>
      <c r="H31" s="2">
        <v>0</v>
      </c>
      <c r="I31" s="4">
        <f t="shared" si="0"/>
        <v>0.5</v>
      </c>
      <c r="J31" s="4">
        <f t="shared" si="1"/>
        <v>1</v>
      </c>
      <c r="K31" s="4">
        <f t="shared" si="1"/>
        <v>100</v>
      </c>
      <c r="L31" s="4">
        <f t="shared" si="1"/>
        <v>5</v>
      </c>
      <c r="M31" s="4">
        <f t="shared" si="2"/>
        <v>0</v>
      </c>
      <c r="N31" s="3">
        <f t="shared" si="3"/>
        <v>50</v>
      </c>
      <c r="O31" s="3">
        <f t="shared" si="4"/>
        <v>100</v>
      </c>
      <c r="P31" s="5">
        <f t="shared" si="5"/>
        <v>0.5</v>
      </c>
      <c r="Q31" s="5">
        <f t="shared" si="6"/>
        <v>1</v>
      </c>
      <c r="R31" s="5">
        <f t="shared" si="7"/>
        <v>100</v>
      </c>
      <c r="S31" s="5">
        <f t="shared" si="8"/>
        <v>5</v>
      </c>
      <c r="T31" s="5">
        <f t="shared" si="9"/>
        <v>0</v>
      </c>
      <c r="U31" s="5">
        <f t="shared" si="10"/>
        <v>0</v>
      </c>
      <c r="V31" s="5">
        <f t="shared" si="11"/>
        <v>0</v>
      </c>
      <c r="W31" s="5">
        <f t="shared" si="12"/>
        <v>0</v>
      </c>
      <c r="X31" s="5">
        <f t="shared" si="13"/>
        <v>0</v>
      </c>
      <c r="Y31" s="5">
        <f t="shared" si="14"/>
        <v>0</v>
      </c>
    </row>
    <row r="32" spans="1:25" x14ac:dyDescent="0.3">
      <c r="A32" s="1">
        <v>30</v>
      </c>
      <c r="B32" s="1" t="s">
        <v>40</v>
      </c>
      <c r="C32" s="2" t="s">
        <v>12</v>
      </c>
      <c r="D32" s="2">
        <v>0.39</v>
      </c>
      <c r="E32" s="2">
        <v>1.97</v>
      </c>
      <c r="F32" s="2">
        <v>93.6</v>
      </c>
      <c r="G32" s="2">
        <v>19.3</v>
      </c>
      <c r="H32" s="2">
        <v>2.06</v>
      </c>
      <c r="I32" s="4">
        <f t="shared" si="0"/>
        <v>0.39</v>
      </c>
      <c r="J32" s="4">
        <f t="shared" si="1"/>
        <v>2</v>
      </c>
      <c r="K32" s="4">
        <f t="shared" si="1"/>
        <v>93.6</v>
      </c>
      <c r="L32" s="4">
        <f t="shared" si="1"/>
        <v>19.3</v>
      </c>
      <c r="M32" s="4">
        <f t="shared" si="2"/>
        <v>0</v>
      </c>
      <c r="N32" s="3">
        <f t="shared" si="3"/>
        <v>36.5</v>
      </c>
      <c r="O32" s="3">
        <f t="shared" si="4"/>
        <v>187.2</v>
      </c>
      <c r="P32" s="5">
        <f t="shared" si="5"/>
        <v>0.38995726495726496</v>
      </c>
      <c r="Q32" s="5">
        <f t="shared" si="6"/>
        <v>2</v>
      </c>
      <c r="R32" s="5">
        <f t="shared" si="7"/>
        <v>93.6</v>
      </c>
      <c r="S32" s="5">
        <f t="shared" si="8"/>
        <v>19.3</v>
      </c>
      <c r="T32" s="5">
        <f t="shared" si="9"/>
        <v>0</v>
      </c>
      <c r="U32" s="5">
        <f t="shared" si="10"/>
        <v>-4.2735042735053685E-5</v>
      </c>
      <c r="V32" s="5">
        <f t="shared" si="11"/>
        <v>3.0000000000000027E-2</v>
      </c>
      <c r="W32" s="5">
        <f t="shared" si="12"/>
        <v>0</v>
      </c>
      <c r="X32" s="5">
        <f t="shared" si="13"/>
        <v>0</v>
      </c>
      <c r="Y32" s="5">
        <f t="shared" si="14"/>
        <v>-2.06</v>
      </c>
    </row>
    <row r="33" spans="1:25" x14ac:dyDescent="0.3">
      <c r="A33" s="1">
        <v>31</v>
      </c>
      <c r="B33" s="1" t="s">
        <v>41</v>
      </c>
      <c r="C33" s="2" t="s">
        <v>10</v>
      </c>
      <c r="D33" s="2">
        <v>0.5</v>
      </c>
      <c r="E33" s="2">
        <v>3</v>
      </c>
      <c r="F33" s="2">
        <v>10</v>
      </c>
      <c r="G33" s="2">
        <v>5</v>
      </c>
      <c r="H33" s="2">
        <v>90</v>
      </c>
      <c r="I33" s="4">
        <f t="shared" si="0"/>
        <v>0.5</v>
      </c>
      <c r="J33" s="4">
        <f t="shared" si="1"/>
        <v>3</v>
      </c>
      <c r="K33" s="4">
        <f t="shared" si="1"/>
        <v>10</v>
      </c>
      <c r="L33" s="4">
        <f t="shared" si="1"/>
        <v>5</v>
      </c>
      <c r="M33" s="4">
        <f t="shared" si="2"/>
        <v>90</v>
      </c>
      <c r="N33" s="3">
        <f t="shared" si="3"/>
        <v>5</v>
      </c>
      <c r="O33" s="3">
        <f t="shared" si="4"/>
        <v>30</v>
      </c>
      <c r="P33" s="5">
        <f t="shared" si="5"/>
        <v>0.5</v>
      </c>
      <c r="Q33" s="5">
        <f t="shared" si="6"/>
        <v>3</v>
      </c>
      <c r="R33" s="5">
        <f t="shared" si="7"/>
        <v>10</v>
      </c>
      <c r="S33" s="5">
        <f t="shared" si="8"/>
        <v>5</v>
      </c>
      <c r="T33" s="5">
        <f t="shared" si="9"/>
        <v>90</v>
      </c>
      <c r="U33" s="5">
        <f t="shared" si="10"/>
        <v>0</v>
      </c>
      <c r="V33" s="5">
        <f t="shared" si="11"/>
        <v>0</v>
      </c>
      <c r="W33" s="5">
        <f t="shared" si="12"/>
        <v>0</v>
      </c>
      <c r="X33" s="5">
        <f t="shared" si="13"/>
        <v>0</v>
      </c>
      <c r="Y33" s="5">
        <f t="shared" si="14"/>
        <v>0</v>
      </c>
    </row>
    <row r="34" spans="1:25" x14ac:dyDescent="0.3">
      <c r="A34" s="1">
        <v>32</v>
      </c>
      <c r="B34" s="1" t="s">
        <v>42</v>
      </c>
      <c r="C34" s="2" t="s">
        <v>12</v>
      </c>
      <c r="D34" s="2">
        <v>0.21</v>
      </c>
      <c r="E34" s="2">
        <v>2.21</v>
      </c>
      <c r="F34" s="2">
        <v>57.3</v>
      </c>
      <c r="G34" s="2">
        <v>15.1</v>
      </c>
      <c r="H34" s="2">
        <v>86.3</v>
      </c>
      <c r="I34" s="4">
        <f t="shared" si="0"/>
        <v>0.21</v>
      </c>
      <c r="J34" s="4">
        <f t="shared" si="1"/>
        <v>2.2000000000000002</v>
      </c>
      <c r="K34" s="4">
        <f t="shared" si="1"/>
        <v>57.3</v>
      </c>
      <c r="L34" s="4">
        <f t="shared" si="1"/>
        <v>15.1</v>
      </c>
      <c r="M34" s="4">
        <f t="shared" si="2"/>
        <v>85</v>
      </c>
      <c r="N34" s="3">
        <f t="shared" si="3"/>
        <v>12</v>
      </c>
      <c r="O34" s="3">
        <f t="shared" si="4"/>
        <v>126.1</v>
      </c>
      <c r="P34" s="5">
        <f t="shared" si="5"/>
        <v>0.20942408376963351</v>
      </c>
      <c r="Q34" s="5">
        <f t="shared" si="6"/>
        <v>2.2006980802792322</v>
      </c>
      <c r="R34" s="5">
        <f t="shared" si="7"/>
        <v>57.3</v>
      </c>
      <c r="S34" s="5">
        <f t="shared" si="8"/>
        <v>15.1</v>
      </c>
      <c r="T34" s="5">
        <f t="shared" si="9"/>
        <v>85</v>
      </c>
      <c r="U34" s="5">
        <f t="shared" si="10"/>
        <v>-5.7591623036648554E-4</v>
      </c>
      <c r="V34" s="5">
        <f t="shared" si="11"/>
        <v>-9.3019197207677706E-3</v>
      </c>
      <c r="W34" s="5">
        <f t="shared" si="12"/>
        <v>0</v>
      </c>
      <c r="X34" s="5">
        <f t="shared" si="13"/>
        <v>0</v>
      </c>
      <c r="Y34" s="5">
        <f t="shared" si="14"/>
        <v>-1.2999999999999972</v>
      </c>
    </row>
    <row r="35" spans="1:25" x14ac:dyDescent="0.3">
      <c r="A35" s="1">
        <v>33</v>
      </c>
      <c r="B35" s="1" t="s">
        <v>43</v>
      </c>
      <c r="C35" s="2" t="s">
        <v>10</v>
      </c>
      <c r="D35" s="2">
        <v>0.1</v>
      </c>
      <c r="E35" s="2">
        <v>3</v>
      </c>
      <c r="F35" s="2">
        <v>10</v>
      </c>
      <c r="G35" s="2">
        <v>25</v>
      </c>
      <c r="H35" s="2">
        <v>90</v>
      </c>
      <c r="I35" s="4">
        <f t="shared" si="0"/>
        <v>0.1</v>
      </c>
      <c r="J35" s="4">
        <f t="shared" ref="J35:L66" si="15">ROUND(E35,1)</f>
        <v>3</v>
      </c>
      <c r="K35" s="4">
        <f t="shared" si="15"/>
        <v>10</v>
      </c>
      <c r="L35" s="4">
        <f t="shared" si="15"/>
        <v>25</v>
      </c>
      <c r="M35" s="4">
        <f t="shared" si="2"/>
        <v>90</v>
      </c>
      <c r="N35" s="3">
        <f t="shared" si="3"/>
        <v>1</v>
      </c>
      <c r="O35" s="3">
        <f t="shared" si="4"/>
        <v>30</v>
      </c>
      <c r="P35" s="5">
        <f t="shared" si="5"/>
        <v>0.1</v>
      </c>
      <c r="Q35" s="5">
        <f t="shared" si="6"/>
        <v>3</v>
      </c>
      <c r="R35" s="5">
        <f t="shared" si="7"/>
        <v>10</v>
      </c>
      <c r="S35" s="5">
        <f t="shared" si="8"/>
        <v>25</v>
      </c>
      <c r="T35" s="5">
        <f t="shared" si="9"/>
        <v>90</v>
      </c>
      <c r="U35" s="5">
        <f t="shared" si="10"/>
        <v>0</v>
      </c>
      <c r="V35" s="5">
        <f t="shared" si="11"/>
        <v>0</v>
      </c>
      <c r="W35" s="5">
        <f t="shared" si="12"/>
        <v>0</v>
      </c>
      <c r="X35" s="5">
        <f t="shared" si="13"/>
        <v>0</v>
      </c>
      <c r="Y35" s="5">
        <f t="shared" si="14"/>
        <v>0</v>
      </c>
    </row>
    <row r="36" spans="1:25" x14ac:dyDescent="0.3">
      <c r="A36" s="1">
        <v>34</v>
      </c>
      <c r="B36" s="1" t="s">
        <v>44</v>
      </c>
      <c r="C36" s="2" t="s">
        <v>12</v>
      </c>
      <c r="D36" s="2">
        <v>0.33</v>
      </c>
      <c r="E36" s="2">
        <v>1.06</v>
      </c>
      <c r="F36" s="2">
        <v>48.5</v>
      </c>
      <c r="G36" s="2">
        <v>7.04</v>
      </c>
      <c r="H36" s="2">
        <v>73.5</v>
      </c>
      <c r="I36" s="4">
        <f t="shared" si="0"/>
        <v>0.33</v>
      </c>
      <c r="J36" s="4">
        <f t="shared" si="15"/>
        <v>1.1000000000000001</v>
      </c>
      <c r="K36" s="4">
        <f t="shared" si="15"/>
        <v>48.5</v>
      </c>
      <c r="L36" s="4">
        <f t="shared" si="15"/>
        <v>7</v>
      </c>
      <c r="M36" s="4">
        <f t="shared" si="2"/>
        <v>75</v>
      </c>
      <c r="N36" s="3">
        <f t="shared" si="3"/>
        <v>16</v>
      </c>
      <c r="O36" s="3">
        <f t="shared" si="4"/>
        <v>53.4</v>
      </c>
      <c r="P36" s="5">
        <f t="shared" si="5"/>
        <v>0.32989690721649484</v>
      </c>
      <c r="Q36" s="5">
        <f t="shared" si="6"/>
        <v>1.1010309278350514</v>
      </c>
      <c r="R36" s="5">
        <f t="shared" si="7"/>
        <v>48.5</v>
      </c>
      <c r="S36" s="5">
        <f t="shared" si="8"/>
        <v>7</v>
      </c>
      <c r="T36" s="5">
        <f t="shared" si="9"/>
        <v>75</v>
      </c>
      <c r="U36" s="5">
        <f t="shared" si="10"/>
        <v>-1.0309278350517648E-4</v>
      </c>
      <c r="V36" s="5">
        <f t="shared" si="11"/>
        <v>4.1030927835051356E-2</v>
      </c>
      <c r="W36" s="5">
        <f t="shared" si="12"/>
        <v>0</v>
      </c>
      <c r="X36" s="5">
        <f t="shared" si="13"/>
        <v>-4.0000000000000036E-2</v>
      </c>
      <c r="Y36" s="5">
        <f t="shared" si="14"/>
        <v>1.5</v>
      </c>
    </row>
    <row r="37" spans="1:25" x14ac:dyDescent="0.3">
      <c r="A37" s="1">
        <v>35</v>
      </c>
      <c r="B37" s="1" t="s">
        <v>45</v>
      </c>
      <c r="C37" s="2" t="s">
        <v>12</v>
      </c>
      <c r="D37" s="2">
        <v>0.32</v>
      </c>
      <c r="E37" s="2">
        <v>2.57</v>
      </c>
      <c r="F37" s="2">
        <v>45.8</v>
      </c>
      <c r="G37" s="2">
        <v>9.83</v>
      </c>
      <c r="H37" s="2">
        <v>70.8</v>
      </c>
      <c r="I37" s="4">
        <f t="shared" si="0"/>
        <v>0.32</v>
      </c>
      <c r="J37" s="4">
        <f t="shared" si="15"/>
        <v>2.6</v>
      </c>
      <c r="K37" s="4">
        <f t="shared" si="15"/>
        <v>45.8</v>
      </c>
      <c r="L37" s="4">
        <f t="shared" si="15"/>
        <v>9.8000000000000007</v>
      </c>
      <c r="M37" s="4">
        <f t="shared" si="2"/>
        <v>70</v>
      </c>
      <c r="N37" s="3">
        <f t="shared" si="3"/>
        <v>14.7</v>
      </c>
      <c r="O37" s="3">
        <f t="shared" si="4"/>
        <v>119.1</v>
      </c>
      <c r="P37" s="5">
        <f t="shared" si="5"/>
        <v>0.32096069868995636</v>
      </c>
      <c r="Q37" s="5">
        <f t="shared" si="6"/>
        <v>2.6004366812227073</v>
      </c>
      <c r="R37" s="5">
        <f t="shared" si="7"/>
        <v>45.8</v>
      </c>
      <c r="S37" s="5">
        <f t="shared" si="8"/>
        <v>9.8000000000000007</v>
      </c>
      <c r="T37" s="5">
        <f t="shared" si="9"/>
        <v>70</v>
      </c>
      <c r="U37" s="5">
        <f t="shared" si="10"/>
        <v>9.6069868995635188E-4</v>
      </c>
      <c r="V37" s="5">
        <f t="shared" si="11"/>
        <v>3.0436681222707485E-2</v>
      </c>
      <c r="W37" s="5">
        <f t="shared" si="12"/>
        <v>0</v>
      </c>
      <c r="X37" s="5">
        <f t="shared" si="13"/>
        <v>-2.9999999999999361E-2</v>
      </c>
      <c r="Y37" s="5">
        <f t="shared" si="14"/>
        <v>-0.79999999999999716</v>
      </c>
    </row>
    <row r="38" spans="1:25" x14ac:dyDescent="0.3">
      <c r="A38" s="1">
        <v>36</v>
      </c>
      <c r="B38" s="1" t="s">
        <v>46</v>
      </c>
      <c r="C38" s="2" t="s">
        <v>12</v>
      </c>
      <c r="D38" s="2">
        <v>0.24</v>
      </c>
      <c r="E38" s="2">
        <v>2.94</v>
      </c>
      <c r="F38" s="2">
        <v>24.7</v>
      </c>
      <c r="G38" s="2">
        <v>22.5</v>
      </c>
      <c r="H38" s="2">
        <v>9.1999999999999993</v>
      </c>
      <c r="I38" s="4">
        <f t="shared" si="0"/>
        <v>0.24</v>
      </c>
      <c r="J38" s="4">
        <f t="shared" si="15"/>
        <v>2.9</v>
      </c>
      <c r="K38" s="4">
        <f t="shared" si="15"/>
        <v>24.7</v>
      </c>
      <c r="L38" s="4">
        <f t="shared" si="15"/>
        <v>22.5</v>
      </c>
      <c r="M38" s="4">
        <f t="shared" si="2"/>
        <v>10</v>
      </c>
      <c r="N38" s="3">
        <f t="shared" si="3"/>
        <v>5.9</v>
      </c>
      <c r="O38" s="3">
        <f t="shared" si="4"/>
        <v>71.599999999999994</v>
      </c>
      <c r="P38" s="5">
        <f t="shared" si="5"/>
        <v>0.23886639676113364</v>
      </c>
      <c r="Q38" s="5">
        <f t="shared" si="6"/>
        <v>2.8987854251012144</v>
      </c>
      <c r="R38" s="5">
        <f t="shared" si="7"/>
        <v>24.7</v>
      </c>
      <c r="S38" s="5">
        <f t="shared" si="8"/>
        <v>22.5</v>
      </c>
      <c r="T38" s="5">
        <f t="shared" si="9"/>
        <v>10</v>
      </c>
      <c r="U38" s="5">
        <f t="shared" si="10"/>
        <v>-1.1336032388663542E-3</v>
      </c>
      <c r="V38" s="5">
        <f t="shared" si="11"/>
        <v>-4.121457489878555E-2</v>
      </c>
      <c r="W38" s="5">
        <f t="shared" si="12"/>
        <v>0</v>
      </c>
      <c r="X38" s="5">
        <f t="shared" si="13"/>
        <v>0</v>
      </c>
      <c r="Y38" s="5">
        <f t="shared" si="14"/>
        <v>0.80000000000000071</v>
      </c>
    </row>
    <row r="39" spans="1:25" x14ac:dyDescent="0.3">
      <c r="A39" s="1">
        <v>37</v>
      </c>
      <c r="B39" s="1" t="s">
        <v>47</v>
      </c>
      <c r="C39" s="2" t="s">
        <v>12</v>
      </c>
      <c r="D39" s="2">
        <v>0.41</v>
      </c>
      <c r="E39" s="2">
        <v>2.86</v>
      </c>
      <c r="F39" s="2">
        <v>31.2</v>
      </c>
      <c r="G39" s="2">
        <v>22.4</v>
      </c>
      <c r="H39" s="2">
        <v>22.3</v>
      </c>
      <c r="I39" s="4">
        <f t="shared" si="0"/>
        <v>0.41</v>
      </c>
      <c r="J39" s="4">
        <f t="shared" si="15"/>
        <v>2.9</v>
      </c>
      <c r="K39" s="4">
        <f t="shared" si="15"/>
        <v>31.2</v>
      </c>
      <c r="L39" s="4">
        <f t="shared" si="15"/>
        <v>22.4</v>
      </c>
      <c r="M39" s="4">
        <f t="shared" si="2"/>
        <v>20</v>
      </c>
      <c r="N39" s="3">
        <f t="shared" si="3"/>
        <v>12.8</v>
      </c>
      <c r="O39" s="3">
        <f t="shared" si="4"/>
        <v>90.5</v>
      </c>
      <c r="P39" s="5">
        <f t="shared" si="5"/>
        <v>0.4102564102564103</v>
      </c>
      <c r="Q39" s="5">
        <f t="shared" si="6"/>
        <v>2.9006410256410255</v>
      </c>
      <c r="R39" s="5">
        <f t="shared" si="7"/>
        <v>31.2</v>
      </c>
      <c r="S39" s="5">
        <f t="shared" si="8"/>
        <v>22.4</v>
      </c>
      <c r="T39" s="5">
        <f t="shared" si="9"/>
        <v>20</v>
      </c>
      <c r="U39" s="5">
        <f t="shared" si="10"/>
        <v>2.5641025641032211E-4</v>
      </c>
      <c r="V39" s="5">
        <f t="shared" si="11"/>
        <v>4.0641025641025674E-2</v>
      </c>
      <c r="W39" s="5">
        <f t="shared" si="12"/>
        <v>0</v>
      </c>
      <c r="X39" s="5">
        <f t="shared" si="13"/>
        <v>0</v>
      </c>
      <c r="Y39" s="5">
        <f t="shared" si="14"/>
        <v>-2.3000000000000007</v>
      </c>
    </row>
    <row r="40" spans="1:25" x14ac:dyDescent="0.3">
      <c r="A40" s="1">
        <v>38</v>
      </c>
      <c r="B40" s="1" t="s">
        <v>48</v>
      </c>
      <c r="C40" s="2" t="s">
        <v>12</v>
      </c>
      <c r="D40" s="2">
        <v>0.15</v>
      </c>
      <c r="E40" s="2">
        <v>1.43</v>
      </c>
      <c r="F40" s="2">
        <v>62.8</v>
      </c>
      <c r="G40" s="2">
        <v>13.6</v>
      </c>
      <c r="H40" s="2">
        <v>52.8</v>
      </c>
      <c r="I40" s="4">
        <f t="shared" si="0"/>
        <v>0.15</v>
      </c>
      <c r="J40" s="4">
        <f t="shared" si="15"/>
        <v>1.4</v>
      </c>
      <c r="K40" s="4">
        <f t="shared" si="15"/>
        <v>62.8</v>
      </c>
      <c r="L40" s="4">
        <f t="shared" si="15"/>
        <v>13.6</v>
      </c>
      <c r="M40" s="4">
        <f t="shared" si="2"/>
        <v>55</v>
      </c>
      <c r="N40" s="3">
        <f t="shared" si="3"/>
        <v>9.4</v>
      </c>
      <c r="O40" s="3">
        <f t="shared" si="4"/>
        <v>87.9</v>
      </c>
      <c r="P40" s="5">
        <f t="shared" si="5"/>
        <v>0.1496815286624204</v>
      </c>
      <c r="Q40" s="5">
        <f t="shared" si="6"/>
        <v>1.3996815286624205</v>
      </c>
      <c r="R40" s="5">
        <f t="shared" si="7"/>
        <v>62.8</v>
      </c>
      <c r="S40" s="5">
        <f t="shared" si="8"/>
        <v>13.6</v>
      </c>
      <c r="T40" s="5">
        <f t="shared" si="9"/>
        <v>55</v>
      </c>
      <c r="U40" s="5">
        <f t="shared" si="10"/>
        <v>-3.1847133757959001E-4</v>
      </c>
      <c r="V40" s="5">
        <f t="shared" si="11"/>
        <v>-3.0318471337579478E-2</v>
      </c>
      <c r="W40" s="5">
        <f t="shared" si="12"/>
        <v>0</v>
      </c>
      <c r="X40" s="5">
        <f t="shared" si="13"/>
        <v>0</v>
      </c>
      <c r="Y40" s="5">
        <f t="shared" si="14"/>
        <v>2.2000000000000028</v>
      </c>
    </row>
    <row r="41" spans="1:25" x14ac:dyDescent="0.3">
      <c r="A41" s="1">
        <v>39</v>
      </c>
      <c r="B41" s="1" t="s">
        <v>49</v>
      </c>
      <c r="C41" s="2" t="s">
        <v>12</v>
      </c>
      <c r="D41" s="2">
        <v>0.36</v>
      </c>
      <c r="E41" s="2">
        <v>1.75</v>
      </c>
      <c r="F41" s="2">
        <v>37.299999999999997</v>
      </c>
      <c r="G41" s="2">
        <v>17.899999999999999</v>
      </c>
      <c r="H41" s="2">
        <v>16.8</v>
      </c>
      <c r="I41" s="4">
        <f t="shared" si="0"/>
        <v>0.36</v>
      </c>
      <c r="J41" s="4">
        <f t="shared" si="15"/>
        <v>1.8</v>
      </c>
      <c r="K41" s="4">
        <f t="shared" si="15"/>
        <v>37.299999999999997</v>
      </c>
      <c r="L41" s="4">
        <f t="shared" si="15"/>
        <v>17.899999999999999</v>
      </c>
      <c r="M41" s="4">
        <f t="shared" si="2"/>
        <v>15</v>
      </c>
      <c r="N41" s="3">
        <f t="shared" si="3"/>
        <v>13.4</v>
      </c>
      <c r="O41" s="3">
        <f t="shared" si="4"/>
        <v>67.099999999999994</v>
      </c>
      <c r="P41" s="5">
        <f t="shared" si="5"/>
        <v>0.35924932975871315</v>
      </c>
      <c r="Q41" s="5">
        <f t="shared" si="6"/>
        <v>1.7989276139410189</v>
      </c>
      <c r="R41" s="5">
        <f t="shared" si="7"/>
        <v>37.299999999999997</v>
      </c>
      <c r="S41" s="5">
        <f t="shared" si="8"/>
        <v>17.899999999999999</v>
      </c>
      <c r="T41" s="5">
        <f t="shared" si="9"/>
        <v>15</v>
      </c>
      <c r="U41" s="5">
        <f t="shared" si="10"/>
        <v>-7.5067024128683268E-4</v>
      </c>
      <c r="V41" s="5">
        <f t="shared" si="11"/>
        <v>4.8927613941018855E-2</v>
      </c>
      <c r="W41" s="5">
        <f t="shared" si="12"/>
        <v>0</v>
      </c>
      <c r="X41" s="5">
        <f t="shared" si="13"/>
        <v>0</v>
      </c>
      <c r="Y41" s="5">
        <f t="shared" si="14"/>
        <v>-1.8000000000000007</v>
      </c>
    </row>
    <row r="42" spans="1:25" x14ac:dyDescent="0.3">
      <c r="A42" s="1">
        <v>40</v>
      </c>
      <c r="B42" s="1" t="s">
        <v>50</v>
      </c>
      <c r="C42" s="2" t="s">
        <v>10</v>
      </c>
      <c r="D42" s="2">
        <v>0.1</v>
      </c>
      <c r="E42" s="2">
        <v>1</v>
      </c>
      <c r="F42" s="2">
        <v>10</v>
      </c>
      <c r="G42" s="2">
        <v>25</v>
      </c>
      <c r="H42" s="2">
        <v>0</v>
      </c>
      <c r="I42" s="4">
        <f t="shared" si="0"/>
        <v>0.1</v>
      </c>
      <c r="J42" s="4">
        <f t="shared" si="15"/>
        <v>1</v>
      </c>
      <c r="K42" s="4">
        <f t="shared" si="15"/>
        <v>10</v>
      </c>
      <c r="L42" s="4">
        <f t="shared" si="15"/>
        <v>25</v>
      </c>
      <c r="M42" s="4">
        <f t="shared" si="2"/>
        <v>0</v>
      </c>
      <c r="N42" s="3">
        <f t="shared" si="3"/>
        <v>1</v>
      </c>
      <c r="O42" s="3">
        <f t="shared" si="4"/>
        <v>10</v>
      </c>
      <c r="P42" s="5">
        <f t="shared" si="5"/>
        <v>0.1</v>
      </c>
      <c r="Q42" s="5">
        <f t="shared" si="6"/>
        <v>1</v>
      </c>
      <c r="R42" s="5">
        <f t="shared" si="7"/>
        <v>10</v>
      </c>
      <c r="S42" s="5">
        <f t="shared" si="8"/>
        <v>25</v>
      </c>
      <c r="T42" s="5">
        <f t="shared" si="9"/>
        <v>0</v>
      </c>
      <c r="U42" s="5">
        <f t="shared" si="10"/>
        <v>0</v>
      </c>
      <c r="V42" s="5">
        <f t="shared" si="11"/>
        <v>0</v>
      </c>
      <c r="W42" s="5">
        <f t="shared" si="12"/>
        <v>0</v>
      </c>
      <c r="X42" s="5">
        <f t="shared" si="13"/>
        <v>0</v>
      </c>
      <c r="Y42" s="5">
        <f t="shared" si="14"/>
        <v>0</v>
      </c>
    </row>
    <row r="43" spans="1:25" x14ac:dyDescent="0.3">
      <c r="A43" s="1">
        <v>41</v>
      </c>
      <c r="B43" s="1" t="s">
        <v>51</v>
      </c>
      <c r="C43" s="2" t="s">
        <v>12</v>
      </c>
      <c r="D43" s="2">
        <v>0.17</v>
      </c>
      <c r="E43" s="2">
        <v>2.14</v>
      </c>
      <c r="F43" s="2">
        <v>42.1</v>
      </c>
      <c r="G43" s="2">
        <v>17.8</v>
      </c>
      <c r="H43" s="2">
        <v>67.8</v>
      </c>
      <c r="I43" s="4">
        <f t="shared" si="0"/>
        <v>0.17</v>
      </c>
      <c r="J43" s="4">
        <f t="shared" si="15"/>
        <v>2.1</v>
      </c>
      <c r="K43" s="4">
        <f t="shared" si="15"/>
        <v>42.1</v>
      </c>
      <c r="L43" s="4">
        <f t="shared" si="15"/>
        <v>17.8</v>
      </c>
      <c r="M43" s="4">
        <f t="shared" si="2"/>
        <v>70</v>
      </c>
      <c r="N43" s="3">
        <f t="shared" si="3"/>
        <v>7.2</v>
      </c>
      <c r="O43" s="3">
        <f t="shared" si="4"/>
        <v>88.4</v>
      </c>
      <c r="P43" s="5">
        <f t="shared" si="5"/>
        <v>0.17102137767220901</v>
      </c>
      <c r="Q43" s="5">
        <f t="shared" si="6"/>
        <v>2.0997624703087885</v>
      </c>
      <c r="R43" s="5">
        <f t="shared" si="7"/>
        <v>42.1</v>
      </c>
      <c r="S43" s="5">
        <f t="shared" si="8"/>
        <v>17.8</v>
      </c>
      <c r="T43" s="5">
        <f t="shared" si="9"/>
        <v>70</v>
      </c>
      <c r="U43" s="5">
        <f t="shared" si="10"/>
        <v>1.0213776722090007E-3</v>
      </c>
      <c r="V43" s="5">
        <f t="shared" si="11"/>
        <v>-4.0237529691211638E-2</v>
      </c>
      <c r="W43" s="5">
        <f t="shared" si="12"/>
        <v>0</v>
      </c>
      <c r="X43" s="5">
        <f t="shared" si="13"/>
        <v>0</v>
      </c>
      <c r="Y43" s="5">
        <f t="shared" si="14"/>
        <v>2.2000000000000028</v>
      </c>
    </row>
    <row r="44" spans="1:25" x14ac:dyDescent="0.3">
      <c r="A44" s="1">
        <v>42</v>
      </c>
      <c r="B44" s="1" t="s">
        <v>52</v>
      </c>
      <c r="C44" s="2" t="s">
        <v>10</v>
      </c>
      <c r="D44" s="2">
        <v>0.1</v>
      </c>
      <c r="E44" s="2">
        <v>3</v>
      </c>
      <c r="F44" s="2">
        <v>10</v>
      </c>
      <c r="G44" s="2">
        <v>25</v>
      </c>
      <c r="H44" s="2">
        <v>0</v>
      </c>
      <c r="I44" s="4">
        <f t="shared" si="0"/>
        <v>0.1</v>
      </c>
      <c r="J44" s="4">
        <f t="shared" si="15"/>
        <v>3</v>
      </c>
      <c r="K44" s="4">
        <f t="shared" si="15"/>
        <v>10</v>
      </c>
      <c r="L44" s="4">
        <f t="shared" si="15"/>
        <v>25</v>
      </c>
      <c r="M44" s="4">
        <f t="shared" si="2"/>
        <v>0</v>
      </c>
      <c r="N44" s="3">
        <f t="shared" si="3"/>
        <v>1</v>
      </c>
      <c r="O44" s="3">
        <f t="shared" si="4"/>
        <v>30</v>
      </c>
      <c r="P44" s="5">
        <f t="shared" si="5"/>
        <v>0.1</v>
      </c>
      <c r="Q44" s="5">
        <f t="shared" si="6"/>
        <v>3</v>
      </c>
      <c r="R44" s="5">
        <f t="shared" si="7"/>
        <v>10</v>
      </c>
      <c r="S44" s="5">
        <f t="shared" si="8"/>
        <v>25</v>
      </c>
      <c r="T44" s="5">
        <f t="shared" si="9"/>
        <v>0</v>
      </c>
      <c r="U44" s="5">
        <f t="shared" si="10"/>
        <v>0</v>
      </c>
      <c r="V44" s="5">
        <f t="shared" si="11"/>
        <v>0</v>
      </c>
      <c r="W44" s="5">
        <f t="shared" si="12"/>
        <v>0</v>
      </c>
      <c r="X44" s="5">
        <f t="shared" si="13"/>
        <v>0</v>
      </c>
      <c r="Y44" s="5">
        <f t="shared" si="14"/>
        <v>0</v>
      </c>
    </row>
    <row r="45" spans="1:25" x14ac:dyDescent="0.3">
      <c r="A45" s="1">
        <v>43</v>
      </c>
      <c r="B45" s="1" t="s">
        <v>53</v>
      </c>
      <c r="C45" s="2" t="s">
        <v>12</v>
      </c>
      <c r="D45" s="2">
        <v>0.12</v>
      </c>
      <c r="E45" s="2">
        <v>2.77</v>
      </c>
      <c r="F45" s="2">
        <v>68.2</v>
      </c>
      <c r="G45" s="2">
        <v>5.62</v>
      </c>
      <c r="H45" s="2">
        <v>79.2</v>
      </c>
      <c r="I45" s="4">
        <f t="shared" si="0"/>
        <v>0.12</v>
      </c>
      <c r="J45" s="4">
        <f t="shared" si="15"/>
        <v>2.8</v>
      </c>
      <c r="K45" s="4">
        <f t="shared" si="15"/>
        <v>68.2</v>
      </c>
      <c r="L45" s="4">
        <f t="shared" si="15"/>
        <v>5.6</v>
      </c>
      <c r="M45" s="4">
        <f t="shared" si="2"/>
        <v>80</v>
      </c>
      <c r="N45" s="3">
        <f t="shared" si="3"/>
        <v>8.1999999999999993</v>
      </c>
      <c r="O45" s="3">
        <f t="shared" si="4"/>
        <v>191</v>
      </c>
      <c r="P45" s="5">
        <f t="shared" si="5"/>
        <v>0.12023460410557184</v>
      </c>
      <c r="Q45" s="5">
        <f t="shared" si="6"/>
        <v>2.8005865102639294</v>
      </c>
      <c r="R45" s="5">
        <f t="shared" si="7"/>
        <v>68.2</v>
      </c>
      <c r="S45" s="5">
        <f t="shared" si="8"/>
        <v>5.6</v>
      </c>
      <c r="T45" s="5">
        <f t="shared" si="9"/>
        <v>80</v>
      </c>
      <c r="U45" s="5">
        <f t="shared" si="10"/>
        <v>2.346041055718423E-4</v>
      </c>
      <c r="V45" s="5">
        <f t="shared" si="11"/>
        <v>3.0586510263929334E-2</v>
      </c>
      <c r="W45" s="5">
        <f t="shared" si="12"/>
        <v>0</v>
      </c>
      <c r="X45" s="5">
        <f t="shared" si="13"/>
        <v>-2.0000000000000462E-2</v>
      </c>
      <c r="Y45" s="5">
        <f t="shared" si="14"/>
        <v>0.79999999999999716</v>
      </c>
    </row>
    <row r="46" spans="1:25" x14ac:dyDescent="0.3">
      <c r="A46" s="1">
        <v>44</v>
      </c>
      <c r="B46" s="1" t="s">
        <v>54</v>
      </c>
      <c r="C46" s="2" t="s">
        <v>10</v>
      </c>
      <c r="D46" s="2">
        <v>0.5</v>
      </c>
      <c r="E46" s="2">
        <v>1</v>
      </c>
      <c r="F46" s="2">
        <v>100</v>
      </c>
      <c r="G46" s="2">
        <v>25</v>
      </c>
      <c r="H46" s="2">
        <v>90</v>
      </c>
      <c r="I46" s="4">
        <f t="shared" si="0"/>
        <v>0.5</v>
      </c>
      <c r="J46" s="4">
        <f t="shared" si="15"/>
        <v>1</v>
      </c>
      <c r="K46" s="4">
        <f t="shared" si="15"/>
        <v>100</v>
      </c>
      <c r="L46" s="4">
        <f t="shared" si="15"/>
        <v>25</v>
      </c>
      <c r="M46" s="4">
        <f t="shared" si="2"/>
        <v>90</v>
      </c>
      <c r="N46" s="3">
        <f t="shared" si="3"/>
        <v>50</v>
      </c>
      <c r="O46" s="3">
        <f t="shared" si="4"/>
        <v>100</v>
      </c>
      <c r="P46" s="5">
        <f t="shared" si="5"/>
        <v>0.5</v>
      </c>
      <c r="Q46" s="5">
        <f t="shared" si="6"/>
        <v>1</v>
      </c>
      <c r="R46" s="5">
        <f t="shared" si="7"/>
        <v>100</v>
      </c>
      <c r="S46" s="5">
        <f t="shared" si="8"/>
        <v>25</v>
      </c>
      <c r="T46" s="5">
        <f t="shared" si="9"/>
        <v>90</v>
      </c>
      <c r="U46" s="5">
        <f t="shared" si="10"/>
        <v>0</v>
      </c>
      <c r="V46" s="5">
        <f t="shared" si="11"/>
        <v>0</v>
      </c>
      <c r="W46" s="5">
        <f t="shared" si="12"/>
        <v>0</v>
      </c>
      <c r="X46" s="5">
        <f t="shared" si="13"/>
        <v>0</v>
      </c>
      <c r="Y46" s="5">
        <f t="shared" si="14"/>
        <v>0</v>
      </c>
    </row>
    <row r="47" spans="1:25" x14ac:dyDescent="0.3">
      <c r="A47" s="1">
        <v>45</v>
      </c>
      <c r="B47" s="1" t="s">
        <v>55</v>
      </c>
      <c r="C47" s="2" t="s">
        <v>12</v>
      </c>
      <c r="D47" s="2">
        <v>0.42</v>
      </c>
      <c r="E47" s="2">
        <v>1.53</v>
      </c>
      <c r="F47" s="2">
        <v>12.7</v>
      </c>
      <c r="G47" s="2">
        <v>19.8</v>
      </c>
      <c r="H47" s="2">
        <v>21.7</v>
      </c>
      <c r="I47" s="4">
        <f t="shared" si="0"/>
        <v>0.42</v>
      </c>
      <c r="J47" s="4">
        <f t="shared" si="15"/>
        <v>1.5</v>
      </c>
      <c r="K47" s="4">
        <f t="shared" si="15"/>
        <v>12.7</v>
      </c>
      <c r="L47" s="4">
        <f t="shared" si="15"/>
        <v>19.8</v>
      </c>
      <c r="M47" s="4">
        <f t="shared" si="2"/>
        <v>20</v>
      </c>
      <c r="N47" s="3">
        <f t="shared" si="3"/>
        <v>5.3</v>
      </c>
      <c r="O47" s="3">
        <f t="shared" si="4"/>
        <v>19.100000000000001</v>
      </c>
      <c r="P47" s="5">
        <f t="shared" si="5"/>
        <v>0.41732283464566933</v>
      </c>
      <c r="Q47" s="5">
        <f t="shared" si="6"/>
        <v>1.503937007874016</v>
      </c>
      <c r="R47" s="5">
        <f t="shared" si="7"/>
        <v>12.7</v>
      </c>
      <c r="S47" s="5">
        <f t="shared" si="8"/>
        <v>19.8</v>
      </c>
      <c r="T47" s="5">
        <f t="shared" si="9"/>
        <v>20</v>
      </c>
      <c r="U47" s="5">
        <f t="shared" si="10"/>
        <v>-2.6771653543306573E-3</v>
      </c>
      <c r="V47" s="5">
        <f t="shared" si="11"/>
        <v>-2.6062992125984064E-2</v>
      </c>
      <c r="W47" s="5">
        <f t="shared" si="12"/>
        <v>0</v>
      </c>
      <c r="X47" s="5">
        <f t="shared" si="13"/>
        <v>0</v>
      </c>
      <c r="Y47" s="5">
        <f t="shared" si="14"/>
        <v>-1.6999999999999993</v>
      </c>
    </row>
    <row r="48" spans="1:25" x14ac:dyDescent="0.3">
      <c r="A48" s="1">
        <v>46</v>
      </c>
      <c r="B48" s="1" t="s">
        <v>56</v>
      </c>
      <c r="C48" s="2" t="s">
        <v>12</v>
      </c>
      <c r="D48" s="2">
        <v>0.22</v>
      </c>
      <c r="E48" s="2">
        <v>2.58</v>
      </c>
      <c r="F48" s="2">
        <v>75.8</v>
      </c>
      <c r="G48" s="2">
        <v>24.8</v>
      </c>
      <c r="H48" s="2">
        <v>72</v>
      </c>
      <c r="I48" s="4">
        <f t="shared" si="0"/>
        <v>0.22</v>
      </c>
      <c r="J48" s="4">
        <f t="shared" si="15"/>
        <v>2.6</v>
      </c>
      <c r="K48" s="4">
        <f t="shared" si="15"/>
        <v>75.8</v>
      </c>
      <c r="L48" s="4">
        <f t="shared" si="15"/>
        <v>24.8</v>
      </c>
      <c r="M48" s="4">
        <f t="shared" si="2"/>
        <v>70</v>
      </c>
      <c r="N48" s="3">
        <f t="shared" si="3"/>
        <v>16.7</v>
      </c>
      <c r="O48" s="3">
        <f t="shared" si="4"/>
        <v>197.1</v>
      </c>
      <c r="P48" s="5">
        <f t="shared" si="5"/>
        <v>0.22031662269129287</v>
      </c>
      <c r="Q48" s="5">
        <f t="shared" si="6"/>
        <v>2.6002638522427439</v>
      </c>
      <c r="R48" s="5">
        <f t="shared" si="7"/>
        <v>75.8</v>
      </c>
      <c r="S48" s="5">
        <f t="shared" si="8"/>
        <v>24.8</v>
      </c>
      <c r="T48" s="5">
        <f t="shared" si="9"/>
        <v>70</v>
      </c>
      <c r="U48" s="5">
        <f t="shared" si="10"/>
        <v>3.1662269129287268E-4</v>
      </c>
      <c r="V48" s="5">
        <f t="shared" si="11"/>
        <v>2.0263852242743852E-2</v>
      </c>
      <c r="W48" s="5">
        <f t="shared" si="12"/>
        <v>0</v>
      </c>
      <c r="X48" s="5">
        <f t="shared" si="13"/>
        <v>0</v>
      </c>
      <c r="Y48" s="5">
        <f t="shared" si="14"/>
        <v>-2</v>
      </c>
    </row>
    <row r="49" spans="1:25" x14ac:dyDescent="0.3">
      <c r="A49" s="1">
        <v>47</v>
      </c>
      <c r="B49" s="1" t="s">
        <v>57</v>
      </c>
      <c r="C49" s="2" t="s">
        <v>12</v>
      </c>
      <c r="D49" s="2">
        <v>0.23</v>
      </c>
      <c r="E49" s="2">
        <v>1.1399999999999999</v>
      </c>
      <c r="F49" s="2">
        <v>61.6</v>
      </c>
      <c r="G49" s="2">
        <v>18.399999999999999</v>
      </c>
      <c r="H49" s="2">
        <v>14.8</v>
      </c>
      <c r="I49" s="4">
        <f t="shared" si="0"/>
        <v>0.23</v>
      </c>
      <c r="J49" s="4">
        <f t="shared" si="15"/>
        <v>1.1000000000000001</v>
      </c>
      <c r="K49" s="4">
        <f t="shared" si="15"/>
        <v>61.6</v>
      </c>
      <c r="L49" s="4">
        <f t="shared" si="15"/>
        <v>18.399999999999999</v>
      </c>
      <c r="M49" s="4">
        <f t="shared" si="2"/>
        <v>15</v>
      </c>
      <c r="N49" s="3">
        <f t="shared" si="3"/>
        <v>14.2</v>
      </c>
      <c r="O49" s="3">
        <f t="shared" si="4"/>
        <v>67.8</v>
      </c>
      <c r="P49" s="5">
        <f t="shared" si="5"/>
        <v>0.23051948051948051</v>
      </c>
      <c r="Q49" s="5">
        <f t="shared" si="6"/>
        <v>1.1006493506493507</v>
      </c>
      <c r="R49" s="5">
        <f t="shared" si="7"/>
        <v>61.6</v>
      </c>
      <c r="S49" s="5">
        <f t="shared" si="8"/>
        <v>18.399999999999999</v>
      </c>
      <c r="T49" s="5">
        <f t="shared" si="9"/>
        <v>15</v>
      </c>
      <c r="U49" s="5">
        <f t="shared" si="10"/>
        <v>5.19480519480503E-4</v>
      </c>
      <c r="V49" s="5">
        <f t="shared" si="11"/>
        <v>-3.9350649350649247E-2</v>
      </c>
      <c r="W49" s="5">
        <f t="shared" si="12"/>
        <v>0</v>
      </c>
      <c r="X49" s="5">
        <f t="shared" si="13"/>
        <v>0</v>
      </c>
      <c r="Y49" s="5">
        <f t="shared" si="14"/>
        <v>0.19999999999999929</v>
      </c>
    </row>
    <row r="50" spans="1:25" x14ac:dyDescent="0.3">
      <c r="A50" s="1">
        <v>48</v>
      </c>
      <c r="B50" s="1" t="s">
        <v>58</v>
      </c>
      <c r="C50" s="2" t="s">
        <v>10</v>
      </c>
      <c r="D50" s="2">
        <v>0.1</v>
      </c>
      <c r="E50" s="2">
        <v>1</v>
      </c>
      <c r="F50" s="2">
        <v>100</v>
      </c>
      <c r="G50" s="2">
        <v>25</v>
      </c>
      <c r="H50" s="2">
        <v>90</v>
      </c>
      <c r="I50" s="4">
        <f t="shared" si="0"/>
        <v>0.1</v>
      </c>
      <c r="J50" s="4">
        <f t="shared" si="15"/>
        <v>1</v>
      </c>
      <c r="K50" s="4">
        <f t="shared" si="15"/>
        <v>100</v>
      </c>
      <c r="L50" s="4">
        <f t="shared" si="15"/>
        <v>25</v>
      </c>
      <c r="M50" s="4">
        <f t="shared" si="2"/>
        <v>90</v>
      </c>
      <c r="N50" s="3">
        <f t="shared" si="3"/>
        <v>10</v>
      </c>
      <c r="O50" s="3">
        <f t="shared" si="4"/>
        <v>100</v>
      </c>
      <c r="P50" s="5">
        <f t="shared" si="5"/>
        <v>0.1</v>
      </c>
      <c r="Q50" s="5">
        <f t="shared" si="6"/>
        <v>1</v>
      </c>
      <c r="R50" s="5">
        <f t="shared" si="7"/>
        <v>100</v>
      </c>
      <c r="S50" s="5">
        <f t="shared" si="8"/>
        <v>25</v>
      </c>
      <c r="T50" s="5">
        <f t="shared" si="9"/>
        <v>90</v>
      </c>
      <c r="U50" s="5">
        <f t="shared" si="10"/>
        <v>0</v>
      </c>
      <c r="V50" s="5">
        <f t="shared" si="11"/>
        <v>0</v>
      </c>
      <c r="W50" s="5">
        <f t="shared" si="12"/>
        <v>0</v>
      </c>
      <c r="X50" s="5">
        <f t="shared" si="13"/>
        <v>0</v>
      </c>
      <c r="Y50" s="5">
        <f t="shared" si="14"/>
        <v>0</v>
      </c>
    </row>
    <row r="51" spans="1:25" x14ac:dyDescent="0.3">
      <c r="A51" s="1">
        <v>49</v>
      </c>
      <c r="B51" s="1" t="s">
        <v>59</v>
      </c>
      <c r="C51" s="2" t="s">
        <v>10</v>
      </c>
      <c r="D51" s="2">
        <v>0.1</v>
      </c>
      <c r="E51" s="2">
        <v>3</v>
      </c>
      <c r="F51" s="2">
        <v>100</v>
      </c>
      <c r="G51" s="2">
        <v>25</v>
      </c>
      <c r="H51" s="2">
        <v>90</v>
      </c>
      <c r="I51" s="4">
        <f t="shared" si="0"/>
        <v>0.1</v>
      </c>
      <c r="J51" s="4">
        <f t="shared" si="15"/>
        <v>3</v>
      </c>
      <c r="K51" s="4">
        <f t="shared" si="15"/>
        <v>100</v>
      </c>
      <c r="L51" s="4">
        <f t="shared" si="15"/>
        <v>25</v>
      </c>
      <c r="M51" s="4">
        <f t="shared" si="2"/>
        <v>90</v>
      </c>
      <c r="N51" s="3">
        <f t="shared" si="3"/>
        <v>10</v>
      </c>
      <c r="O51" s="3">
        <f t="shared" si="4"/>
        <v>300</v>
      </c>
      <c r="P51" s="5">
        <f t="shared" si="5"/>
        <v>0.1</v>
      </c>
      <c r="Q51" s="5">
        <f t="shared" si="6"/>
        <v>3</v>
      </c>
      <c r="R51" s="5">
        <f t="shared" si="7"/>
        <v>100</v>
      </c>
      <c r="S51" s="5">
        <f t="shared" si="8"/>
        <v>25</v>
      </c>
      <c r="T51" s="5">
        <f t="shared" si="9"/>
        <v>90</v>
      </c>
      <c r="U51" s="5">
        <f t="shared" si="10"/>
        <v>0</v>
      </c>
      <c r="V51" s="5">
        <f t="shared" si="11"/>
        <v>0</v>
      </c>
      <c r="W51" s="5">
        <f t="shared" si="12"/>
        <v>0</v>
      </c>
      <c r="X51" s="5">
        <f t="shared" si="13"/>
        <v>0</v>
      </c>
      <c r="Y51" s="5">
        <f t="shared" si="14"/>
        <v>0</v>
      </c>
    </row>
    <row r="52" spans="1:25" x14ac:dyDescent="0.3">
      <c r="A52" s="1">
        <v>50</v>
      </c>
      <c r="B52" s="1" t="s">
        <v>60</v>
      </c>
      <c r="C52" s="2" t="s">
        <v>12</v>
      </c>
      <c r="D52" s="2">
        <v>0.43</v>
      </c>
      <c r="E52" s="2">
        <v>1.77</v>
      </c>
      <c r="F52" s="2">
        <v>46.7</v>
      </c>
      <c r="G52" s="2">
        <v>12.1</v>
      </c>
      <c r="H52" s="2">
        <v>64.7</v>
      </c>
      <c r="I52" s="4">
        <f t="shared" si="0"/>
        <v>0.43</v>
      </c>
      <c r="J52" s="4">
        <f t="shared" si="15"/>
        <v>1.8</v>
      </c>
      <c r="K52" s="4">
        <f t="shared" si="15"/>
        <v>46.7</v>
      </c>
      <c r="L52" s="4">
        <f t="shared" si="15"/>
        <v>12.1</v>
      </c>
      <c r="M52" s="4">
        <f t="shared" si="2"/>
        <v>65</v>
      </c>
      <c r="N52" s="3">
        <f t="shared" si="3"/>
        <v>20.100000000000001</v>
      </c>
      <c r="O52" s="3">
        <f t="shared" si="4"/>
        <v>84.1</v>
      </c>
      <c r="P52" s="5">
        <f t="shared" si="5"/>
        <v>0.43040685224839403</v>
      </c>
      <c r="Q52" s="5">
        <f t="shared" si="6"/>
        <v>1.8008565310492504</v>
      </c>
      <c r="R52" s="5">
        <f t="shared" si="7"/>
        <v>46.7</v>
      </c>
      <c r="S52" s="5">
        <f t="shared" si="8"/>
        <v>12.1</v>
      </c>
      <c r="T52" s="5">
        <f t="shared" si="9"/>
        <v>65</v>
      </c>
      <c r="U52" s="5">
        <f t="shared" si="10"/>
        <v>4.0685224839404066E-4</v>
      </c>
      <c r="V52" s="5">
        <f t="shared" si="11"/>
        <v>3.0856531049250346E-2</v>
      </c>
      <c r="W52" s="5">
        <f t="shared" si="12"/>
        <v>0</v>
      </c>
      <c r="X52" s="5">
        <f t="shared" si="13"/>
        <v>0</v>
      </c>
      <c r="Y52" s="5">
        <f t="shared" si="14"/>
        <v>0.29999999999999716</v>
      </c>
    </row>
    <row r="53" spans="1:25" x14ac:dyDescent="0.3">
      <c r="A53" s="1">
        <v>51</v>
      </c>
      <c r="B53" s="1" t="s">
        <v>61</v>
      </c>
      <c r="C53" s="2" t="s">
        <v>12</v>
      </c>
      <c r="D53" s="2">
        <v>0.23</v>
      </c>
      <c r="E53" s="2">
        <v>1.74</v>
      </c>
      <c r="F53" s="2">
        <v>65.599999999999994</v>
      </c>
      <c r="G53" s="2">
        <v>12.2</v>
      </c>
      <c r="H53" s="2">
        <v>57</v>
      </c>
      <c r="I53" s="4">
        <f t="shared" si="0"/>
        <v>0.23</v>
      </c>
      <c r="J53" s="4">
        <f t="shared" si="15"/>
        <v>1.7</v>
      </c>
      <c r="K53" s="4">
        <f t="shared" si="15"/>
        <v>65.599999999999994</v>
      </c>
      <c r="L53" s="4">
        <f t="shared" si="15"/>
        <v>12.2</v>
      </c>
      <c r="M53" s="4">
        <f t="shared" si="2"/>
        <v>55</v>
      </c>
      <c r="N53" s="3">
        <f t="shared" si="3"/>
        <v>15.1</v>
      </c>
      <c r="O53" s="3">
        <f t="shared" si="4"/>
        <v>111.5</v>
      </c>
      <c r="P53" s="5">
        <f t="shared" si="5"/>
        <v>0.2301829268292683</v>
      </c>
      <c r="Q53" s="5">
        <f t="shared" si="6"/>
        <v>1.6996951219512197</v>
      </c>
      <c r="R53" s="5">
        <f t="shared" si="7"/>
        <v>65.599999999999994</v>
      </c>
      <c r="S53" s="5">
        <f t="shared" si="8"/>
        <v>12.2</v>
      </c>
      <c r="T53" s="5">
        <f t="shared" si="9"/>
        <v>55</v>
      </c>
      <c r="U53" s="5">
        <f t="shared" si="10"/>
        <v>1.8292682926829285E-4</v>
      </c>
      <c r="V53" s="5">
        <f t="shared" si="11"/>
        <v>-4.0304878048780246E-2</v>
      </c>
      <c r="W53" s="5">
        <f t="shared" si="12"/>
        <v>0</v>
      </c>
      <c r="X53" s="5">
        <f t="shared" si="13"/>
        <v>0</v>
      </c>
      <c r="Y53" s="5">
        <f t="shared" si="14"/>
        <v>-2</v>
      </c>
    </row>
    <row r="54" spans="1:25" x14ac:dyDescent="0.3">
      <c r="A54" s="1">
        <v>52</v>
      </c>
      <c r="B54" s="1" t="s">
        <v>62</v>
      </c>
      <c r="C54" s="2" t="s">
        <v>12</v>
      </c>
      <c r="D54" s="2">
        <v>0.14000000000000001</v>
      </c>
      <c r="E54" s="2">
        <v>1.1000000000000001</v>
      </c>
      <c r="F54" s="2">
        <v>12.9</v>
      </c>
      <c r="G54" s="2">
        <v>8.06</v>
      </c>
      <c r="H54" s="2">
        <v>55.2</v>
      </c>
      <c r="I54" s="4">
        <f t="shared" si="0"/>
        <v>0.14000000000000001</v>
      </c>
      <c r="J54" s="4">
        <f t="shared" si="15"/>
        <v>1.1000000000000001</v>
      </c>
      <c r="K54" s="4">
        <f t="shared" si="15"/>
        <v>12.9</v>
      </c>
      <c r="L54" s="4">
        <f t="shared" si="15"/>
        <v>8.1</v>
      </c>
      <c r="M54" s="4">
        <f t="shared" si="2"/>
        <v>55</v>
      </c>
      <c r="N54" s="3">
        <f t="shared" si="3"/>
        <v>1.8</v>
      </c>
      <c r="O54" s="3">
        <f t="shared" si="4"/>
        <v>14.2</v>
      </c>
      <c r="P54" s="5">
        <f t="shared" si="5"/>
        <v>0.13953488372093023</v>
      </c>
      <c r="Q54" s="5">
        <f t="shared" si="6"/>
        <v>1.1007751937984496</v>
      </c>
      <c r="R54" s="5">
        <f t="shared" si="7"/>
        <v>12.9</v>
      </c>
      <c r="S54" s="5">
        <f t="shared" si="8"/>
        <v>8.1</v>
      </c>
      <c r="T54" s="5">
        <f t="shared" si="9"/>
        <v>55</v>
      </c>
      <c r="U54" s="5">
        <f t="shared" si="10"/>
        <v>-4.651162790697827E-4</v>
      </c>
      <c r="V54" s="5">
        <f t="shared" si="11"/>
        <v>7.7519379844948055E-4</v>
      </c>
      <c r="W54" s="5">
        <f t="shared" si="12"/>
        <v>0</v>
      </c>
      <c r="X54" s="5">
        <f t="shared" si="13"/>
        <v>3.9999999999999147E-2</v>
      </c>
      <c r="Y54" s="5">
        <f t="shared" si="14"/>
        <v>-0.20000000000000284</v>
      </c>
    </row>
    <row r="55" spans="1:25" x14ac:dyDescent="0.3">
      <c r="A55" s="1">
        <v>53</v>
      </c>
      <c r="B55" s="1" t="s">
        <v>63</v>
      </c>
      <c r="C55" s="2" t="s">
        <v>10</v>
      </c>
      <c r="D55" s="2">
        <v>0.5</v>
      </c>
      <c r="E55" s="2">
        <v>3</v>
      </c>
      <c r="F55" s="2">
        <v>10</v>
      </c>
      <c r="G55" s="2">
        <v>5</v>
      </c>
      <c r="H55" s="2">
        <v>0</v>
      </c>
      <c r="I55" s="4">
        <f t="shared" si="0"/>
        <v>0.5</v>
      </c>
      <c r="J55" s="4">
        <f t="shared" si="15"/>
        <v>3</v>
      </c>
      <c r="K55" s="4">
        <f t="shared" si="15"/>
        <v>10</v>
      </c>
      <c r="L55" s="4">
        <f t="shared" si="15"/>
        <v>5</v>
      </c>
      <c r="M55" s="4">
        <f t="shared" si="2"/>
        <v>0</v>
      </c>
      <c r="N55" s="3">
        <f t="shared" si="3"/>
        <v>5</v>
      </c>
      <c r="O55" s="3">
        <f t="shared" si="4"/>
        <v>30</v>
      </c>
      <c r="P55" s="5">
        <f t="shared" si="5"/>
        <v>0.5</v>
      </c>
      <c r="Q55" s="5">
        <f t="shared" si="6"/>
        <v>3</v>
      </c>
      <c r="R55" s="5">
        <f t="shared" si="7"/>
        <v>10</v>
      </c>
      <c r="S55" s="5">
        <f t="shared" si="8"/>
        <v>5</v>
      </c>
      <c r="T55" s="5">
        <f t="shared" si="9"/>
        <v>0</v>
      </c>
      <c r="U55" s="5">
        <f t="shared" si="10"/>
        <v>0</v>
      </c>
      <c r="V55" s="5">
        <f t="shared" si="11"/>
        <v>0</v>
      </c>
      <c r="W55" s="5">
        <f t="shared" si="12"/>
        <v>0</v>
      </c>
      <c r="X55" s="5">
        <f t="shared" si="13"/>
        <v>0</v>
      </c>
      <c r="Y55" s="5">
        <f t="shared" si="14"/>
        <v>0</v>
      </c>
    </row>
    <row r="56" spans="1:25" x14ac:dyDescent="0.3">
      <c r="A56" s="1">
        <v>54</v>
      </c>
      <c r="B56" s="1" t="s">
        <v>64</v>
      </c>
      <c r="C56" s="2" t="s">
        <v>12</v>
      </c>
      <c r="D56" s="2">
        <v>0.39</v>
      </c>
      <c r="E56" s="2">
        <v>1.99</v>
      </c>
      <c r="F56" s="2">
        <v>22.2</v>
      </c>
      <c r="G56" s="2">
        <v>6.57</v>
      </c>
      <c r="H56" s="2">
        <v>37.9</v>
      </c>
      <c r="I56" s="4">
        <f t="shared" si="0"/>
        <v>0.39</v>
      </c>
      <c r="J56" s="4">
        <f t="shared" si="15"/>
        <v>2</v>
      </c>
      <c r="K56" s="4">
        <f t="shared" si="15"/>
        <v>22.2</v>
      </c>
      <c r="L56" s="4">
        <f t="shared" si="15"/>
        <v>6.6</v>
      </c>
      <c r="M56" s="4">
        <f t="shared" si="2"/>
        <v>40</v>
      </c>
      <c r="N56" s="3">
        <f t="shared" si="3"/>
        <v>8.6999999999999993</v>
      </c>
      <c r="O56" s="3">
        <f t="shared" si="4"/>
        <v>44.4</v>
      </c>
      <c r="P56" s="5">
        <f t="shared" si="5"/>
        <v>0.39189189189189189</v>
      </c>
      <c r="Q56" s="5">
        <f t="shared" si="6"/>
        <v>2</v>
      </c>
      <c r="R56" s="5">
        <f t="shared" si="7"/>
        <v>22.2</v>
      </c>
      <c r="S56" s="5">
        <f t="shared" si="8"/>
        <v>6.6</v>
      </c>
      <c r="T56" s="5">
        <f t="shared" si="9"/>
        <v>40</v>
      </c>
      <c r="U56" s="5">
        <f t="shared" si="10"/>
        <v>1.8918918918918726E-3</v>
      </c>
      <c r="V56" s="5">
        <f t="shared" si="11"/>
        <v>1.0000000000000009E-2</v>
      </c>
      <c r="W56" s="5">
        <f t="shared" si="12"/>
        <v>0</v>
      </c>
      <c r="X56" s="5">
        <f t="shared" si="13"/>
        <v>2.9999999999999361E-2</v>
      </c>
      <c r="Y56" s="5">
        <f t="shared" si="14"/>
        <v>2.1000000000000014</v>
      </c>
    </row>
    <row r="57" spans="1:25" x14ac:dyDescent="0.3">
      <c r="A57" s="1">
        <v>55</v>
      </c>
      <c r="B57" s="1" t="s">
        <v>65</v>
      </c>
      <c r="C57" s="2" t="s">
        <v>12</v>
      </c>
      <c r="D57" s="2">
        <v>0.31</v>
      </c>
      <c r="E57" s="2">
        <v>1.83</v>
      </c>
      <c r="F57" s="2">
        <v>66.400000000000006</v>
      </c>
      <c r="G57" s="2">
        <v>21.2</v>
      </c>
      <c r="H57" s="2">
        <v>68.5</v>
      </c>
      <c r="I57" s="4">
        <f t="shared" si="0"/>
        <v>0.31</v>
      </c>
      <c r="J57" s="4">
        <f t="shared" si="15"/>
        <v>1.8</v>
      </c>
      <c r="K57" s="4">
        <f t="shared" si="15"/>
        <v>66.400000000000006</v>
      </c>
      <c r="L57" s="4">
        <f t="shared" si="15"/>
        <v>21.2</v>
      </c>
      <c r="M57" s="4">
        <f t="shared" si="2"/>
        <v>70</v>
      </c>
      <c r="N57" s="3">
        <f t="shared" si="3"/>
        <v>20.6</v>
      </c>
      <c r="O57" s="3">
        <f t="shared" si="4"/>
        <v>119.5</v>
      </c>
      <c r="P57" s="5">
        <f t="shared" si="5"/>
        <v>0.31024096385542166</v>
      </c>
      <c r="Q57" s="5">
        <f t="shared" si="6"/>
        <v>1.7996987951807228</v>
      </c>
      <c r="R57" s="5">
        <f t="shared" si="7"/>
        <v>66.400000000000006</v>
      </c>
      <c r="S57" s="5">
        <f t="shared" si="8"/>
        <v>21.2</v>
      </c>
      <c r="T57" s="5">
        <f t="shared" si="9"/>
        <v>70</v>
      </c>
      <c r="U57" s="5">
        <f t="shared" si="10"/>
        <v>2.4096385542166088E-4</v>
      </c>
      <c r="V57" s="5">
        <f t="shared" si="11"/>
        <v>-3.0301204819277228E-2</v>
      </c>
      <c r="W57" s="5">
        <f t="shared" si="12"/>
        <v>0</v>
      </c>
      <c r="X57" s="5">
        <f t="shared" si="13"/>
        <v>0</v>
      </c>
      <c r="Y57" s="5">
        <f t="shared" si="14"/>
        <v>1.5</v>
      </c>
    </row>
    <row r="58" spans="1:25" x14ac:dyDescent="0.3">
      <c r="A58" s="1">
        <v>56</v>
      </c>
      <c r="B58" s="1" t="s">
        <v>66</v>
      </c>
      <c r="C58" s="2" t="s">
        <v>12</v>
      </c>
      <c r="D58" s="2">
        <v>0.14000000000000001</v>
      </c>
      <c r="E58" s="2">
        <v>2.11</v>
      </c>
      <c r="F58" s="2">
        <v>72.5</v>
      </c>
      <c r="G58" s="2">
        <v>10.4</v>
      </c>
      <c r="H58" s="2">
        <v>42.8</v>
      </c>
      <c r="I58" s="4">
        <f t="shared" si="0"/>
        <v>0.14000000000000001</v>
      </c>
      <c r="J58" s="4">
        <f t="shared" si="15"/>
        <v>2.1</v>
      </c>
      <c r="K58" s="4">
        <f t="shared" si="15"/>
        <v>72.5</v>
      </c>
      <c r="L58" s="4">
        <f t="shared" si="15"/>
        <v>10.4</v>
      </c>
      <c r="M58" s="4">
        <f t="shared" si="2"/>
        <v>45</v>
      </c>
      <c r="N58" s="3">
        <f t="shared" si="3"/>
        <v>10.199999999999999</v>
      </c>
      <c r="O58" s="3">
        <f t="shared" si="4"/>
        <v>152.30000000000001</v>
      </c>
      <c r="P58" s="5">
        <f t="shared" si="5"/>
        <v>0.14068965517241377</v>
      </c>
      <c r="Q58" s="5">
        <f t="shared" si="6"/>
        <v>2.1006896551724141</v>
      </c>
      <c r="R58" s="5">
        <f t="shared" si="7"/>
        <v>72.5</v>
      </c>
      <c r="S58" s="5">
        <f t="shared" si="8"/>
        <v>10.4</v>
      </c>
      <c r="T58" s="5">
        <f t="shared" si="9"/>
        <v>45</v>
      </c>
      <c r="U58" s="5">
        <f t="shared" si="10"/>
        <v>6.8965517241376117E-4</v>
      </c>
      <c r="V58" s="5">
        <f t="shared" si="11"/>
        <v>-9.3103448275857481E-3</v>
      </c>
      <c r="W58" s="5">
        <f t="shared" si="12"/>
        <v>0</v>
      </c>
      <c r="X58" s="5">
        <f t="shared" si="13"/>
        <v>0</v>
      </c>
      <c r="Y58" s="5">
        <f t="shared" si="14"/>
        <v>2.2000000000000028</v>
      </c>
    </row>
    <row r="59" spans="1:25" x14ac:dyDescent="0.3">
      <c r="A59" s="1">
        <v>57</v>
      </c>
      <c r="B59" s="1" t="s">
        <v>67</v>
      </c>
      <c r="C59" s="2" t="s">
        <v>12</v>
      </c>
      <c r="D59" s="2">
        <v>0.48</v>
      </c>
      <c r="E59" s="2">
        <v>2.27</v>
      </c>
      <c r="F59" s="2">
        <v>29.5</v>
      </c>
      <c r="G59" s="2">
        <v>9.26</v>
      </c>
      <c r="H59" s="2">
        <v>70.099999999999994</v>
      </c>
      <c r="I59" s="4">
        <f t="shared" si="0"/>
        <v>0.48</v>
      </c>
      <c r="J59" s="4">
        <f t="shared" si="15"/>
        <v>2.2999999999999998</v>
      </c>
      <c r="K59" s="4">
        <f t="shared" si="15"/>
        <v>29.5</v>
      </c>
      <c r="L59" s="4">
        <f t="shared" si="15"/>
        <v>9.3000000000000007</v>
      </c>
      <c r="M59" s="4">
        <f t="shared" si="2"/>
        <v>70</v>
      </c>
      <c r="N59" s="3">
        <f t="shared" si="3"/>
        <v>14.2</v>
      </c>
      <c r="O59" s="3">
        <f t="shared" si="4"/>
        <v>67.900000000000006</v>
      </c>
      <c r="P59" s="5">
        <f t="shared" si="5"/>
        <v>0.48135593220338979</v>
      </c>
      <c r="Q59" s="5">
        <f t="shared" si="6"/>
        <v>2.3016949152542376</v>
      </c>
      <c r="R59" s="5">
        <f t="shared" si="7"/>
        <v>29.5</v>
      </c>
      <c r="S59" s="5">
        <f t="shared" si="8"/>
        <v>9.3000000000000007</v>
      </c>
      <c r="T59" s="5">
        <f t="shared" si="9"/>
        <v>70</v>
      </c>
      <c r="U59" s="5">
        <f t="shared" si="10"/>
        <v>1.3559322033898091E-3</v>
      </c>
      <c r="V59" s="5">
        <f t="shared" si="11"/>
        <v>3.1694915254237621E-2</v>
      </c>
      <c r="W59" s="5">
        <f t="shared" si="12"/>
        <v>0</v>
      </c>
      <c r="X59" s="5">
        <f t="shared" si="13"/>
        <v>4.0000000000000924E-2</v>
      </c>
      <c r="Y59" s="5">
        <f t="shared" si="14"/>
        <v>-9.9999999999994316E-2</v>
      </c>
    </row>
    <row r="60" spans="1:25" x14ac:dyDescent="0.3">
      <c r="A60" s="1">
        <v>58</v>
      </c>
      <c r="B60" s="1" t="s">
        <v>68</v>
      </c>
      <c r="C60" s="2" t="s">
        <v>12</v>
      </c>
      <c r="D60" s="2">
        <v>0.4</v>
      </c>
      <c r="E60" s="2">
        <v>1.59</v>
      </c>
      <c r="F60" s="2">
        <v>69</v>
      </c>
      <c r="G60" s="2">
        <v>6.14</v>
      </c>
      <c r="H60" s="2">
        <v>65.5</v>
      </c>
      <c r="I60" s="4">
        <f t="shared" si="0"/>
        <v>0.4</v>
      </c>
      <c r="J60" s="4">
        <f t="shared" si="15"/>
        <v>1.6</v>
      </c>
      <c r="K60" s="4">
        <f t="shared" si="15"/>
        <v>69</v>
      </c>
      <c r="L60" s="4">
        <f t="shared" si="15"/>
        <v>6.1</v>
      </c>
      <c r="M60" s="4">
        <f t="shared" si="2"/>
        <v>65</v>
      </c>
      <c r="N60" s="3">
        <f t="shared" si="3"/>
        <v>27.6</v>
      </c>
      <c r="O60" s="3">
        <f t="shared" si="4"/>
        <v>110.4</v>
      </c>
      <c r="P60" s="5">
        <f t="shared" si="5"/>
        <v>0.4</v>
      </c>
      <c r="Q60" s="5">
        <f t="shared" si="6"/>
        <v>1.6</v>
      </c>
      <c r="R60" s="5">
        <f t="shared" si="7"/>
        <v>69</v>
      </c>
      <c r="S60" s="5">
        <f t="shared" si="8"/>
        <v>6.1</v>
      </c>
      <c r="T60" s="5">
        <f t="shared" si="9"/>
        <v>65</v>
      </c>
      <c r="U60" s="5">
        <f t="shared" si="10"/>
        <v>0</v>
      </c>
      <c r="V60" s="5">
        <f t="shared" si="11"/>
        <v>1.0000000000000009E-2</v>
      </c>
      <c r="W60" s="5">
        <f t="shared" si="12"/>
        <v>0</v>
      </c>
      <c r="X60" s="5">
        <f t="shared" si="13"/>
        <v>-4.0000000000000036E-2</v>
      </c>
      <c r="Y60" s="5">
        <f t="shared" si="14"/>
        <v>-0.5</v>
      </c>
    </row>
    <row r="61" spans="1:25" x14ac:dyDescent="0.3">
      <c r="A61" s="1">
        <v>59</v>
      </c>
      <c r="B61" s="1" t="s">
        <v>69</v>
      </c>
      <c r="C61" s="2" t="s">
        <v>12</v>
      </c>
      <c r="D61" s="2">
        <v>0.27</v>
      </c>
      <c r="E61" s="2">
        <v>2.46</v>
      </c>
      <c r="F61" s="2">
        <v>64</v>
      </c>
      <c r="G61" s="2">
        <v>18.100000000000001</v>
      </c>
      <c r="H61" s="2">
        <v>18.5</v>
      </c>
      <c r="I61" s="4">
        <f t="shared" si="0"/>
        <v>0.27</v>
      </c>
      <c r="J61" s="4">
        <f t="shared" si="15"/>
        <v>2.5</v>
      </c>
      <c r="K61" s="4">
        <f t="shared" si="15"/>
        <v>64</v>
      </c>
      <c r="L61" s="4">
        <f t="shared" si="15"/>
        <v>18.100000000000001</v>
      </c>
      <c r="M61" s="4">
        <f t="shared" si="2"/>
        <v>20</v>
      </c>
      <c r="N61" s="3">
        <f t="shared" si="3"/>
        <v>17.3</v>
      </c>
      <c r="O61" s="3">
        <f t="shared" si="4"/>
        <v>160</v>
      </c>
      <c r="P61" s="5">
        <f t="shared" si="5"/>
        <v>0.27031250000000001</v>
      </c>
      <c r="Q61" s="5">
        <f t="shared" si="6"/>
        <v>2.5</v>
      </c>
      <c r="R61" s="5">
        <f t="shared" si="7"/>
        <v>64</v>
      </c>
      <c r="S61" s="5">
        <f t="shared" si="8"/>
        <v>18.100000000000001</v>
      </c>
      <c r="T61" s="5">
        <f t="shared" si="9"/>
        <v>20</v>
      </c>
      <c r="U61" s="5">
        <f t="shared" si="10"/>
        <v>3.1249999999999334E-4</v>
      </c>
      <c r="V61" s="5">
        <f t="shared" si="11"/>
        <v>4.0000000000000036E-2</v>
      </c>
      <c r="W61" s="5">
        <f t="shared" si="12"/>
        <v>0</v>
      </c>
      <c r="X61" s="5">
        <f t="shared" si="13"/>
        <v>0</v>
      </c>
      <c r="Y61" s="5">
        <f t="shared" si="14"/>
        <v>1.5</v>
      </c>
    </row>
    <row r="62" spans="1:25" x14ac:dyDescent="0.3">
      <c r="A62" s="1">
        <v>60</v>
      </c>
      <c r="B62" s="1" t="s">
        <v>70</v>
      </c>
      <c r="C62" s="2" t="s">
        <v>12</v>
      </c>
      <c r="D62" s="2">
        <v>0.27</v>
      </c>
      <c r="E62" s="2">
        <v>2.29</v>
      </c>
      <c r="F62" s="2">
        <v>85.7</v>
      </c>
      <c r="G62" s="2">
        <v>10.5</v>
      </c>
      <c r="H62" s="2">
        <v>77.5</v>
      </c>
      <c r="I62" s="4">
        <f t="shared" si="0"/>
        <v>0.27</v>
      </c>
      <c r="J62" s="4">
        <f t="shared" si="15"/>
        <v>2.2999999999999998</v>
      </c>
      <c r="K62" s="4">
        <f t="shared" si="15"/>
        <v>85.7</v>
      </c>
      <c r="L62" s="4">
        <f t="shared" si="15"/>
        <v>10.5</v>
      </c>
      <c r="M62" s="4">
        <f t="shared" si="2"/>
        <v>80</v>
      </c>
      <c r="N62" s="3">
        <f t="shared" si="3"/>
        <v>23.1</v>
      </c>
      <c r="O62" s="3">
        <f t="shared" si="4"/>
        <v>197.1</v>
      </c>
      <c r="P62" s="5">
        <f t="shared" si="5"/>
        <v>0.2695449241540257</v>
      </c>
      <c r="Q62" s="5">
        <f t="shared" si="6"/>
        <v>2.2998833138856476</v>
      </c>
      <c r="R62" s="5">
        <f t="shared" si="7"/>
        <v>85.7</v>
      </c>
      <c r="S62" s="5">
        <f t="shared" si="8"/>
        <v>10.5</v>
      </c>
      <c r="T62" s="5">
        <f t="shared" si="9"/>
        <v>80</v>
      </c>
      <c r="U62" s="5">
        <f t="shared" si="10"/>
        <v>-4.5507584597431761E-4</v>
      </c>
      <c r="V62" s="5">
        <f t="shared" si="11"/>
        <v>9.88331388564756E-3</v>
      </c>
      <c r="W62" s="5">
        <f t="shared" si="12"/>
        <v>0</v>
      </c>
      <c r="X62" s="5">
        <f t="shared" si="13"/>
        <v>0</v>
      </c>
      <c r="Y62" s="5">
        <f t="shared" si="14"/>
        <v>2.5</v>
      </c>
    </row>
    <row r="63" spans="1:25" x14ac:dyDescent="0.3">
      <c r="A63" s="1">
        <v>61</v>
      </c>
      <c r="B63" s="1" t="s">
        <v>71</v>
      </c>
      <c r="C63" s="2" t="s">
        <v>12</v>
      </c>
      <c r="D63" s="2">
        <v>0.3</v>
      </c>
      <c r="E63" s="2">
        <v>2.41</v>
      </c>
      <c r="F63" s="2">
        <v>84.8</v>
      </c>
      <c r="G63" s="2">
        <v>19.100000000000001</v>
      </c>
      <c r="H63" s="2">
        <v>11.4</v>
      </c>
      <c r="I63" s="4">
        <f t="shared" si="0"/>
        <v>0.3</v>
      </c>
      <c r="J63" s="4">
        <f t="shared" si="15"/>
        <v>2.4</v>
      </c>
      <c r="K63" s="4">
        <f t="shared" si="15"/>
        <v>84.8</v>
      </c>
      <c r="L63" s="4">
        <f t="shared" si="15"/>
        <v>19.100000000000001</v>
      </c>
      <c r="M63" s="4">
        <f t="shared" si="2"/>
        <v>10</v>
      </c>
      <c r="N63" s="3">
        <f t="shared" si="3"/>
        <v>25.4</v>
      </c>
      <c r="O63" s="3">
        <f t="shared" si="4"/>
        <v>203.5</v>
      </c>
      <c r="P63" s="5">
        <f t="shared" si="5"/>
        <v>0.29952830188679247</v>
      </c>
      <c r="Q63" s="5">
        <f t="shared" si="6"/>
        <v>2.3997641509433962</v>
      </c>
      <c r="R63" s="5">
        <f t="shared" si="7"/>
        <v>84.8</v>
      </c>
      <c r="S63" s="5">
        <f t="shared" si="8"/>
        <v>19.100000000000001</v>
      </c>
      <c r="T63" s="5">
        <f t="shared" si="9"/>
        <v>10</v>
      </c>
      <c r="U63" s="5">
        <f t="shared" si="10"/>
        <v>-4.7169811320751931E-4</v>
      </c>
      <c r="V63" s="5">
        <f t="shared" si="11"/>
        <v>-1.0235849056603907E-2</v>
      </c>
      <c r="W63" s="5">
        <f t="shared" si="12"/>
        <v>0</v>
      </c>
      <c r="X63" s="5">
        <f t="shared" si="13"/>
        <v>0</v>
      </c>
      <c r="Y63" s="5">
        <f t="shared" si="14"/>
        <v>-1.4000000000000004</v>
      </c>
    </row>
    <row r="64" spans="1:25" x14ac:dyDescent="0.3">
      <c r="A64" s="1">
        <v>62</v>
      </c>
      <c r="B64" s="1" t="s">
        <v>72</v>
      </c>
      <c r="C64" s="2" t="s">
        <v>12</v>
      </c>
      <c r="D64" s="2">
        <v>0.26</v>
      </c>
      <c r="E64" s="2">
        <v>2.0299999999999998</v>
      </c>
      <c r="F64" s="2">
        <v>80.2</v>
      </c>
      <c r="G64" s="2">
        <v>23.3</v>
      </c>
      <c r="H64" s="2">
        <v>72.5</v>
      </c>
      <c r="I64" s="4">
        <f t="shared" si="0"/>
        <v>0.26</v>
      </c>
      <c r="J64" s="4">
        <f t="shared" si="15"/>
        <v>2</v>
      </c>
      <c r="K64" s="4">
        <f t="shared" si="15"/>
        <v>80.2</v>
      </c>
      <c r="L64" s="4">
        <f t="shared" si="15"/>
        <v>23.3</v>
      </c>
      <c r="M64" s="4">
        <f t="shared" si="2"/>
        <v>75</v>
      </c>
      <c r="N64" s="3">
        <f t="shared" si="3"/>
        <v>20.9</v>
      </c>
      <c r="O64" s="3">
        <f t="shared" si="4"/>
        <v>160.4</v>
      </c>
      <c r="P64" s="5">
        <f t="shared" si="5"/>
        <v>0.26059850374064836</v>
      </c>
      <c r="Q64" s="5">
        <f t="shared" si="6"/>
        <v>2</v>
      </c>
      <c r="R64" s="5">
        <f t="shared" si="7"/>
        <v>80.2</v>
      </c>
      <c r="S64" s="5">
        <f t="shared" si="8"/>
        <v>23.3</v>
      </c>
      <c r="T64" s="5">
        <f t="shared" si="9"/>
        <v>75</v>
      </c>
      <c r="U64" s="5">
        <f t="shared" si="10"/>
        <v>5.9850374064834844E-4</v>
      </c>
      <c r="V64" s="5">
        <f t="shared" si="11"/>
        <v>-2.9999999999999805E-2</v>
      </c>
      <c r="W64" s="5">
        <f t="shared" si="12"/>
        <v>0</v>
      </c>
      <c r="X64" s="5">
        <f t="shared" si="13"/>
        <v>0</v>
      </c>
      <c r="Y64" s="5">
        <f t="shared" si="14"/>
        <v>2.5</v>
      </c>
    </row>
    <row r="65" spans="1:25" x14ac:dyDescent="0.3">
      <c r="A65" s="1">
        <v>63</v>
      </c>
      <c r="B65" s="1" t="s">
        <v>73</v>
      </c>
      <c r="C65" s="2" t="s">
        <v>12</v>
      </c>
      <c r="D65" s="2">
        <v>0.33</v>
      </c>
      <c r="E65" s="2">
        <v>2.2000000000000002</v>
      </c>
      <c r="F65" s="2">
        <v>21.2</v>
      </c>
      <c r="G65" s="2">
        <v>9.9600000000000009</v>
      </c>
      <c r="H65" s="2">
        <v>57.5</v>
      </c>
      <c r="I65" s="4">
        <f t="shared" si="0"/>
        <v>0.33</v>
      </c>
      <c r="J65" s="4">
        <f t="shared" si="15"/>
        <v>2.2000000000000002</v>
      </c>
      <c r="K65" s="4">
        <f t="shared" si="15"/>
        <v>21.2</v>
      </c>
      <c r="L65" s="4">
        <f t="shared" si="15"/>
        <v>10</v>
      </c>
      <c r="M65" s="4">
        <f t="shared" si="2"/>
        <v>60</v>
      </c>
      <c r="N65" s="3">
        <f t="shared" si="3"/>
        <v>7</v>
      </c>
      <c r="O65" s="3">
        <f t="shared" si="4"/>
        <v>46.6</v>
      </c>
      <c r="P65" s="5">
        <f t="shared" si="5"/>
        <v>0.33018867924528306</v>
      </c>
      <c r="Q65" s="5">
        <f t="shared" si="6"/>
        <v>2.1981132075471699</v>
      </c>
      <c r="R65" s="5">
        <f t="shared" si="7"/>
        <v>21.2</v>
      </c>
      <c r="S65" s="5">
        <f t="shared" si="8"/>
        <v>10</v>
      </c>
      <c r="T65" s="5">
        <f t="shared" si="9"/>
        <v>60</v>
      </c>
      <c r="U65" s="5">
        <f t="shared" si="10"/>
        <v>1.8867924528304103E-4</v>
      </c>
      <c r="V65" s="5">
        <f t="shared" si="11"/>
        <v>-1.8867924528302993E-3</v>
      </c>
      <c r="W65" s="5">
        <f t="shared" si="12"/>
        <v>0</v>
      </c>
      <c r="X65" s="5">
        <f t="shared" si="13"/>
        <v>3.9999999999999147E-2</v>
      </c>
      <c r="Y65" s="5">
        <f t="shared" si="14"/>
        <v>2.5</v>
      </c>
    </row>
    <row r="66" spans="1:25" x14ac:dyDescent="0.3">
      <c r="A66" s="1">
        <v>64</v>
      </c>
      <c r="B66" s="1" t="s">
        <v>74</v>
      </c>
      <c r="C66" s="2" t="s">
        <v>12</v>
      </c>
      <c r="D66" s="2">
        <v>0.32</v>
      </c>
      <c r="E66" s="2">
        <v>1.24</v>
      </c>
      <c r="F66" s="2">
        <v>54.6</v>
      </c>
      <c r="G66" s="2">
        <v>20.2</v>
      </c>
      <c r="H66" s="2">
        <v>54.1</v>
      </c>
      <c r="I66" s="4">
        <f t="shared" si="0"/>
        <v>0.32</v>
      </c>
      <c r="J66" s="4">
        <f t="shared" si="15"/>
        <v>1.2</v>
      </c>
      <c r="K66" s="4">
        <f t="shared" si="15"/>
        <v>54.6</v>
      </c>
      <c r="L66" s="4">
        <f t="shared" si="15"/>
        <v>20.2</v>
      </c>
      <c r="M66" s="4">
        <f t="shared" si="2"/>
        <v>55</v>
      </c>
      <c r="N66" s="3">
        <f t="shared" si="3"/>
        <v>17.5</v>
      </c>
      <c r="O66" s="3">
        <f t="shared" si="4"/>
        <v>65.5</v>
      </c>
      <c r="P66" s="5">
        <f t="shared" si="5"/>
        <v>0.32051282051282048</v>
      </c>
      <c r="Q66" s="5">
        <f t="shared" si="6"/>
        <v>1.1996336996336996</v>
      </c>
      <c r="R66" s="5">
        <f t="shared" si="7"/>
        <v>54.6</v>
      </c>
      <c r="S66" s="5">
        <f t="shared" si="8"/>
        <v>20.2</v>
      </c>
      <c r="T66" s="5">
        <f t="shared" si="9"/>
        <v>55</v>
      </c>
      <c r="U66" s="5">
        <f t="shared" si="10"/>
        <v>5.1282051282047769E-4</v>
      </c>
      <c r="V66" s="5">
        <f t="shared" si="11"/>
        <v>-4.0366300366300401E-2</v>
      </c>
      <c r="W66" s="5">
        <f t="shared" si="12"/>
        <v>0</v>
      </c>
      <c r="X66" s="5">
        <f t="shared" si="13"/>
        <v>0</v>
      </c>
      <c r="Y66" s="5">
        <f t="shared" si="14"/>
        <v>0.89999999999999858</v>
      </c>
    </row>
    <row r="67" spans="1:25" x14ac:dyDescent="0.3">
      <c r="A67" s="1">
        <v>65</v>
      </c>
      <c r="B67" s="1" t="s">
        <v>75</v>
      </c>
      <c r="C67" s="2" t="s">
        <v>12</v>
      </c>
      <c r="D67" s="2">
        <v>0.17</v>
      </c>
      <c r="E67" s="2">
        <v>1.38</v>
      </c>
      <c r="F67" s="2">
        <v>72.900000000000006</v>
      </c>
      <c r="G67" s="2">
        <v>18.600000000000001</v>
      </c>
      <c r="H67" s="2">
        <v>4.3899999999999997</v>
      </c>
      <c r="I67" s="4">
        <f t="shared" ref="I67:I130" si="16">D67</f>
        <v>0.17</v>
      </c>
      <c r="J67" s="4">
        <f t="shared" ref="J67:L98" si="17">ROUND(E67,1)</f>
        <v>1.4</v>
      </c>
      <c r="K67" s="4">
        <f t="shared" si="17"/>
        <v>72.900000000000006</v>
      </c>
      <c r="L67" s="4">
        <f t="shared" si="17"/>
        <v>18.600000000000001</v>
      </c>
      <c r="M67" s="4">
        <f t="shared" ref="M67:M130" si="18">MROUND(H67,5)</f>
        <v>5</v>
      </c>
      <c r="N67" s="3">
        <f t="shared" ref="N67:N130" si="19">ROUND(I67*K67,1)</f>
        <v>12.4</v>
      </c>
      <c r="O67" s="3">
        <f t="shared" ref="O67:O130" si="20">ROUND(J67*K67,1)</f>
        <v>102.1</v>
      </c>
      <c r="P67" s="5">
        <f t="shared" ref="P67:P130" si="21">N67/K67</f>
        <v>0.17009602194787379</v>
      </c>
      <c r="Q67" s="5">
        <f t="shared" ref="Q67:Q130" si="22">O67/K67</f>
        <v>1.4005486968449929</v>
      </c>
      <c r="R67" s="5">
        <f t="shared" ref="R67:R130" si="23">K67</f>
        <v>72.900000000000006</v>
      </c>
      <c r="S67" s="5">
        <f t="shared" ref="S67:S130" si="24">L67</f>
        <v>18.600000000000001</v>
      </c>
      <c r="T67" s="5">
        <f t="shared" ref="T67:T130" si="25">M67</f>
        <v>5</v>
      </c>
      <c r="U67" s="5">
        <f t="shared" ref="U67:U130" si="26">P67-D67</f>
        <v>9.6021947873781155E-5</v>
      </c>
      <c r="V67" s="5">
        <f t="shared" ref="V67:V130" si="27">Q67-E67</f>
        <v>2.0548696844993053E-2</v>
      </c>
      <c r="W67" s="5">
        <f t="shared" ref="W67:W130" si="28">R67-F67</f>
        <v>0</v>
      </c>
      <c r="X67" s="5">
        <f t="shared" ref="X67:X130" si="29">S67-G67</f>
        <v>0</v>
      </c>
      <c r="Y67" s="5">
        <f t="shared" ref="Y67:Y130" si="30">T67-H67</f>
        <v>0.61000000000000032</v>
      </c>
    </row>
    <row r="68" spans="1:25" x14ac:dyDescent="0.3">
      <c r="A68" s="1">
        <v>66</v>
      </c>
      <c r="B68" s="1" t="s">
        <v>76</v>
      </c>
      <c r="C68" s="2" t="s">
        <v>12</v>
      </c>
      <c r="D68" s="2">
        <v>0.11</v>
      </c>
      <c r="E68" s="2">
        <v>1.68</v>
      </c>
      <c r="F68" s="2">
        <v>11.3</v>
      </c>
      <c r="G68" s="2">
        <v>14.6</v>
      </c>
      <c r="H68" s="2">
        <v>63.8</v>
      </c>
      <c r="I68" s="4">
        <f t="shared" si="16"/>
        <v>0.11</v>
      </c>
      <c r="J68" s="4">
        <f t="shared" si="17"/>
        <v>1.7</v>
      </c>
      <c r="K68" s="4">
        <f t="shared" si="17"/>
        <v>11.3</v>
      </c>
      <c r="L68" s="4">
        <f t="shared" si="17"/>
        <v>14.6</v>
      </c>
      <c r="M68" s="4">
        <f t="shared" si="18"/>
        <v>65</v>
      </c>
      <c r="N68" s="3">
        <f t="shared" si="19"/>
        <v>1.2</v>
      </c>
      <c r="O68" s="3">
        <f t="shared" si="20"/>
        <v>19.2</v>
      </c>
      <c r="P68" s="5">
        <f t="shared" si="21"/>
        <v>0.10619469026548671</v>
      </c>
      <c r="Q68" s="5">
        <f t="shared" si="22"/>
        <v>1.6991150442477874</v>
      </c>
      <c r="R68" s="5">
        <f t="shared" si="23"/>
        <v>11.3</v>
      </c>
      <c r="S68" s="5">
        <f t="shared" si="24"/>
        <v>14.6</v>
      </c>
      <c r="T68" s="5">
        <f t="shared" si="25"/>
        <v>65</v>
      </c>
      <c r="U68" s="5">
        <f t="shared" si="26"/>
        <v>-3.8053097345132902E-3</v>
      </c>
      <c r="V68" s="5">
        <f t="shared" si="27"/>
        <v>1.9115044247787427E-2</v>
      </c>
      <c r="W68" s="5">
        <f t="shared" si="28"/>
        <v>0</v>
      </c>
      <c r="X68" s="5">
        <f t="shared" si="29"/>
        <v>0</v>
      </c>
      <c r="Y68" s="5">
        <f t="shared" si="30"/>
        <v>1.2000000000000028</v>
      </c>
    </row>
    <row r="69" spans="1:25" x14ac:dyDescent="0.3">
      <c r="A69" s="1">
        <v>67</v>
      </c>
      <c r="B69" s="1" t="s">
        <v>77</v>
      </c>
      <c r="C69" s="2" t="s">
        <v>10</v>
      </c>
      <c r="D69" s="2">
        <v>0.5</v>
      </c>
      <c r="E69" s="2">
        <v>1</v>
      </c>
      <c r="F69" s="2">
        <v>10</v>
      </c>
      <c r="G69" s="2">
        <v>25</v>
      </c>
      <c r="H69" s="2">
        <v>90</v>
      </c>
      <c r="I69" s="4">
        <f t="shared" si="16"/>
        <v>0.5</v>
      </c>
      <c r="J69" s="4">
        <f t="shared" si="17"/>
        <v>1</v>
      </c>
      <c r="K69" s="4">
        <f t="shared" si="17"/>
        <v>10</v>
      </c>
      <c r="L69" s="4">
        <f t="shared" si="17"/>
        <v>25</v>
      </c>
      <c r="M69" s="4">
        <f t="shared" si="18"/>
        <v>90</v>
      </c>
      <c r="N69" s="3">
        <f t="shared" si="19"/>
        <v>5</v>
      </c>
      <c r="O69" s="3">
        <f t="shared" si="20"/>
        <v>10</v>
      </c>
      <c r="P69" s="5">
        <f t="shared" si="21"/>
        <v>0.5</v>
      </c>
      <c r="Q69" s="5">
        <f t="shared" si="22"/>
        <v>1</v>
      </c>
      <c r="R69" s="5">
        <f t="shared" si="23"/>
        <v>10</v>
      </c>
      <c r="S69" s="5">
        <f t="shared" si="24"/>
        <v>25</v>
      </c>
      <c r="T69" s="5">
        <f t="shared" si="25"/>
        <v>90</v>
      </c>
      <c r="U69" s="5">
        <f t="shared" si="26"/>
        <v>0</v>
      </c>
      <c r="V69" s="5">
        <f t="shared" si="27"/>
        <v>0</v>
      </c>
      <c r="W69" s="5">
        <f t="shared" si="28"/>
        <v>0</v>
      </c>
      <c r="X69" s="5">
        <f t="shared" si="29"/>
        <v>0</v>
      </c>
      <c r="Y69" s="5">
        <f t="shared" si="30"/>
        <v>0</v>
      </c>
    </row>
    <row r="70" spans="1:25" x14ac:dyDescent="0.3">
      <c r="A70" s="1">
        <v>68</v>
      </c>
      <c r="B70" s="1" t="s">
        <v>78</v>
      </c>
      <c r="C70" s="2" t="s">
        <v>12</v>
      </c>
      <c r="D70" s="2">
        <v>0.13</v>
      </c>
      <c r="E70" s="2">
        <v>2.33</v>
      </c>
      <c r="F70" s="2">
        <v>77</v>
      </c>
      <c r="G70" s="2">
        <v>6.28</v>
      </c>
      <c r="H70" s="2">
        <v>26.6</v>
      </c>
      <c r="I70" s="4">
        <f t="shared" si="16"/>
        <v>0.13</v>
      </c>
      <c r="J70" s="4">
        <f t="shared" si="17"/>
        <v>2.2999999999999998</v>
      </c>
      <c r="K70" s="4">
        <f t="shared" si="17"/>
        <v>77</v>
      </c>
      <c r="L70" s="4">
        <f t="shared" si="17"/>
        <v>6.3</v>
      </c>
      <c r="M70" s="4">
        <f t="shared" si="18"/>
        <v>25</v>
      </c>
      <c r="N70" s="3">
        <f t="shared" si="19"/>
        <v>10</v>
      </c>
      <c r="O70" s="3">
        <f t="shared" si="20"/>
        <v>177.1</v>
      </c>
      <c r="P70" s="5">
        <f t="shared" si="21"/>
        <v>0.12987012987012986</v>
      </c>
      <c r="Q70" s="5">
        <f t="shared" si="22"/>
        <v>2.2999999999999998</v>
      </c>
      <c r="R70" s="5">
        <f t="shared" si="23"/>
        <v>77</v>
      </c>
      <c r="S70" s="5">
        <f t="shared" si="24"/>
        <v>6.3</v>
      </c>
      <c r="T70" s="5">
        <f t="shared" si="25"/>
        <v>25</v>
      </c>
      <c r="U70" s="5">
        <f t="shared" si="26"/>
        <v>-1.2987012987014657E-4</v>
      </c>
      <c r="V70" s="5">
        <f t="shared" si="27"/>
        <v>-3.0000000000000249E-2</v>
      </c>
      <c r="W70" s="5">
        <f t="shared" si="28"/>
        <v>0</v>
      </c>
      <c r="X70" s="5">
        <f t="shared" si="29"/>
        <v>1.9999999999999574E-2</v>
      </c>
      <c r="Y70" s="5">
        <f t="shared" si="30"/>
        <v>-1.6000000000000014</v>
      </c>
    </row>
    <row r="71" spans="1:25" x14ac:dyDescent="0.3">
      <c r="A71" s="1">
        <v>69</v>
      </c>
      <c r="B71" s="1" t="s">
        <v>79</v>
      </c>
      <c r="C71" s="2" t="s">
        <v>12</v>
      </c>
      <c r="D71" s="2">
        <v>0.48</v>
      </c>
      <c r="E71" s="2">
        <v>2.5499999999999998</v>
      </c>
      <c r="F71" s="2">
        <v>10.3</v>
      </c>
      <c r="G71" s="2">
        <v>23.5</v>
      </c>
      <c r="H71" s="2">
        <v>80</v>
      </c>
      <c r="I71" s="4">
        <f t="shared" si="16"/>
        <v>0.48</v>
      </c>
      <c r="J71" s="4">
        <f t="shared" si="17"/>
        <v>2.6</v>
      </c>
      <c r="K71" s="4">
        <f t="shared" si="17"/>
        <v>10.3</v>
      </c>
      <c r="L71" s="4">
        <f t="shared" si="17"/>
        <v>23.5</v>
      </c>
      <c r="M71" s="4">
        <f t="shared" si="18"/>
        <v>80</v>
      </c>
      <c r="N71" s="3">
        <f t="shared" si="19"/>
        <v>4.9000000000000004</v>
      </c>
      <c r="O71" s="3">
        <f t="shared" si="20"/>
        <v>26.8</v>
      </c>
      <c r="P71" s="5">
        <f t="shared" si="21"/>
        <v>0.47572815533980584</v>
      </c>
      <c r="Q71" s="5">
        <f t="shared" si="22"/>
        <v>2.6019417475728153</v>
      </c>
      <c r="R71" s="5">
        <f t="shared" si="23"/>
        <v>10.3</v>
      </c>
      <c r="S71" s="5">
        <f t="shared" si="24"/>
        <v>23.5</v>
      </c>
      <c r="T71" s="5">
        <f t="shared" si="25"/>
        <v>80</v>
      </c>
      <c r="U71" s="5">
        <f t="shared" si="26"/>
        <v>-4.2718446601941462E-3</v>
      </c>
      <c r="V71" s="5">
        <f t="shared" si="27"/>
        <v>5.1941747572815444E-2</v>
      </c>
      <c r="W71" s="5">
        <f t="shared" si="28"/>
        <v>0</v>
      </c>
      <c r="X71" s="5">
        <f t="shared" si="29"/>
        <v>0</v>
      </c>
      <c r="Y71" s="5">
        <f t="shared" si="30"/>
        <v>0</v>
      </c>
    </row>
    <row r="72" spans="1:25" x14ac:dyDescent="0.3">
      <c r="A72" s="1">
        <v>70</v>
      </c>
      <c r="B72" s="1" t="s">
        <v>80</v>
      </c>
      <c r="C72" s="2" t="s">
        <v>12</v>
      </c>
      <c r="D72" s="2">
        <v>0.31</v>
      </c>
      <c r="E72" s="2">
        <v>2.46</v>
      </c>
      <c r="F72" s="2">
        <v>97.1</v>
      </c>
      <c r="G72" s="2">
        <v>23.7</v>
      </c>
      <c r="H72" s="2">
        <v>62.7</v>
      </c>
      <c r="I72" s="4">
        <f t="shared" si="16"/>
        <v>0.31</v>
      </c>
      <c r="J72" s="4">
        <f t="shared" si="17"/>
        <v>2.5</v>
      </c>
      <c r="K72" s="4">
        <f t="shared" si="17"/>
        <v>97.1</v>
      </c>
      <c r="L72" s="4">
        <f t="shared" si="17"/>
        <v>23.7</v>
      </c>
      <c r="M72" s="4">
        <f t="shared" si="18"/>
        <v>65</v>
      </c>
      <c r="N72" s="3">
        <f t="shared" si="19"/>
        <v>30.1</v>
      </c>
      <c r="O72" s="3">
        <f t="shared" si="20"/>
        <v>242.8</v>
      </c>
      <c r="P72" s="5">
        <f t="shared" si="21"/>
        <v>0.30998970133882597</v>
      </c>
      <c r="Q72" s="5">
        <f t="shared" si="22"/>
        <v>2.5005149330587026</v>
      </c>
      <c r="R72" s="5">
        <f t="shared" si="23"/>
        <v>97.1</v>
      </c>
      <c r="S72" s="5">
        <f t="shared" si="24"/>
        <v>23.7</v>
      </c>
      <c r="T72" s="5">
        <f t="shared" si="25"/>
        <v>65</v>
      </c>
      <c r="U72" s="5">
        <f t="shared" si="26"/>
        <v>-1.0298661174024115E-5</v>
      </c>
      <c r="V72" s="5">
        <f t="shared" si="27"/>
        <v>4.0514933058702685E-2</v>
      </c>
      <c r="W72" s="5">
        <f t="shared" si="28"/>
        <v>0</v>
      </c>
      <c r="X72" s="5">
        <f t="shared" si="29"/>
        <v>0</v>
      </c>
      <c r="Y72" s="5">
        <f t="shared" si="30"/>
        <v>2.2999999999999972</v>
      </c>
    </row>
    <row r="73" spans="1:25" x14ac:dyDescent="0.3">
      <c r="A73" s="1">
        <v>71</v>
      </c>
      <c r="B73" s="1" t="s">
        <v>81</v>
      </c>
      <c r="C73" s="2" t="s">
        <v>12</v>
      </c>
      <c r="D73" s="2">
        <v>0.18</v>
      </c>
      <c r="E73" s="2">
        <v>1.22</v>
      </c>
      <c r="F73" s="2">
        <v>63.5</v>
      </c>
      <c r="G73" s="2">
        <v>7.44</v>
      </c>
      <c r="H73" s="2">
        <v>22.9</v>
      </c>
      <c r="I73" s="4">
        <f t="shared" si="16"/>
        <v>0.18</v>
      </c>
      <c r="J73" s="4">
        <f t="shared" si="17"/>
        <v>1.2</v>
      </c>
      <c r="K73" s="4">
        <f t="shared" si="17"/>
        <v>63.5</v>
      </c>
      <c r="L73" s="4">
        <f t="shared" si="17"/>
        <v>7.4</v>
      </c>
      <c r="M73" s="4">
        <f t="shared" si="18"/>
        <v>25</v>
      </c>
      <c r="N73" s="3">
        <f t="shared" si="19"/>
        <v>11.4</v>
      </c>
      <c r="O73" s="3">
        <f t="shared" si="20"/>
        <v>76.2</v>
      </c>
      <c r="P73" s="5">
        <f t="shared" si="21"/>
        <v>0.17952755905511811</v>
      </c>
      <c r="Q73" s="5">
        <f t="shared" si="22"/>
        <v>1.2</v>
      </c>
      <c r="R73" s="5">
        <f t="shared" si="23"/>
        <v>63.5</v>
      </c>
      <c r="S73" s="5">
        <f t="shared" si="24"/>
        <v>7.4</v>
      </c>
      <c r="T73" s="5">
        <f t="shared" si="25"/>
        <v>25</v>
      </c>
      <c r="U73" s="5">
        <f t="shared" si="26"/>
        <v>-4.7244094488188559E-4</v>
      </c>
      <c r="V73" s="5">
        <f t="shared" si="27"/>
        <v>-2.0000000000000018E-2</v>
      </c>
      <c r="W73" s="5">
        <f t="shared" si="28"/>
        <v>0</v>
      </c>
      <c r="X73" s="5">
        <f t="shared" si="29"/>
        <v>-4.0000000000000036E-2</v>
      </c>
      <c r="Y73" s="5">
        <f t="shared" si="30"/>
        <v>2.1000000000000014</v>
      </c>
    </row>
    <row r="74" spans="1:25" x14ac:dyDescent="0.3">
      <c r="A74" s="1">
        <v>72</v>
      </c>
      <c r="B74" s="1" t="s">
        <v>82</v>
      </c>
      <c r="C74" s="2" t="s">
        <v>12</v>
      </c>
      <c r="D74" s="2">
        <v>0.25</v>
      </c>
      <c r="E74" s="2">
        <v>2.62</v>
      </c>
      <c r="F74" s="2">
        <v>83.7</v>
      </c>
      <c r="G74" s="2">
        <v>12</v>
      </c>
      <c r="H74" s="2">
        <v>20.2</v>
      </c>
      <c r="I74" s="4">
        <f t="shared" si="16"/>
        <v>0.25</v>
      </c>
      <c r="J74" s="4">
        <f t="shared" si="17"/>
        <v>2.6</v>
      </c>
      <c r="K74" s="4">
        <f t="shared" si="17"/>
        <v>83.7</v>
      </c>
      <c r="L74" s="4">
        <f t="shared" si="17"/>
        <v>12</v>
      </c>
      <c r="M74" s="4">
        <f t="shared" si="18"/>
        <v>20</v>
      </c>
      <c r="N74" s="3">
        <f t="shared" si="19"/>
        <v>20.9</v>
      </c>
      <c r="O74" s="3">
        <f t="shared" si="20"/>
        <v>217.6</v>
      </c>
      <c r="P74" s="5">
        <f t="shared" si="21"/>
        <v>0.24970131421744324</v>
      </c>
      <c r="Q74" s="5">
        <f t="shared" si="22"/>
        <v>2.5997610513739544</v>
      </c>
      <c r="R74" s="5">
        <f t="shared" si="23"/>
        <v>83.7</v>
      </c>
      <c r="S74" s="5">
        <f t="shared" si="24"/>
        <v>12</v>
      </c>
      <c r="T74" s="5">
        <f t="shared" si="25"/>
        <v>20</v>
      </c>
      <c r="U74" s="5">
        <f t="shared" si="26"/>
        <v>-2.9868578255676237E-4</v>
      </c>
      <c r="V74" s="5">
        <f t="shared" si="27"/>
        <v>-2.0238948626045694E-2</v>
      </c>
      <c r="W74" s="5">
        <f t="shared" si="28"/>
        <v>0</v>
      </c>
      <c r="X74" s="5">
        <f t="shared" si="29"/>
        <v>0</v>
      </c>
      <c r="Y74" s="5">
        <f t="shared" si="30"/>
        <v>-0.19999999999999929</v>
      </c>
    </row>
    <row r="75" spans="1:25" x14ac:dyDescent="0.3">
      <c r="A75" s="1">
        <v>73</v>
      </c>
      <c r="B75" s="1" t="s">
        <v>83</v>
      </c>
      <c r="C75" s="2" t="s">
        <v>12</v>
      </c>
      <c r="D75" s="2">
        <v>0.5</v>
      </c>
      <c r="E75" s="2">
        <v>2.48</v>
      </c>
      <c r="F75" s="2">
        <v>53.7</v>
      </c>
      <c r="G75" s="2">
        <v>5.95</v>
      </c>
      <c r="H75" s="2">
        <v>75.3</v>
      </c>
      <c r="I75" s="4">
        <f t="shared" si="16"/>
        <v>0.5</v>
      </c>
      <c r="J75" s="4">
        <f t="shared" si="17"/>
        <v>2.5</v>
      </c>
      <c r="K75" s="4">
        <f t="shared" si="17"/>
        <v>53.7</v>
      </c>
      <c r="L75" s="4">
        <f t="shared" si="17"/>
        <v>6</v>
      </c>
      <c r="M75" s="4">
        <f t="shared" si="18"/>
        <v>75</v>
      </c>
      <c r="N75" s="3">
        <f t="shared" si="19"/>
        <v>26.9</v>
      </c>
      <c r="O75" s="3">
        <f t="shared" si="20"/>
        <v>134.30000000000001</v>
      </c>
      <c r="P75" s="5">
        <f t="shared" si="21"/>
        <v>0.5009310986964618</v>
      </c>
      <c r="Q75" s="5">
        <f t="shared" si="22"/>
        <v>2.5009310986964617</v>
      </c>
      <c r="R75" s="5">
        <f t="shared" si="23"/>
        <v>53.7</v>
      </c>
      <c r="S75" s="5">
        <f t="shared" si="24"/>
        <v>6</v>
      </c>
      <c r="T75" s="5">
        <f t="shared" si="25"/>
        <v>75</v>
      </c>
      <c r="U75" s="5">
        <f t="shared" si="26"/>
        <v>9.3109869646179622E-4</v>
      </c>
      <c r="V75" s="5">
        <f t="shared" si="27"/>
        <v>2.0931098696461703E-2</v>
      </c>
      <c r="W75" s="5">
        <f t="shared" si="28"/>
        <v>0</v>
      </c>
      <c r="X75" s="5">
        <f t="shared" si="29"/>
        <v>4.9999999999999822E-2</v>
      </c>
      <c r="Y75" s="5">
        <f t="shared" si="30"/>
        <v>-0.29999999999999716</v>
      </c>
    </row>
    <row r="76" spans="1:25" x14ac:dyDescent="0.3">
      <c r="A76" s="1">
        <v>74</v>
      </c>
      <c r="B76" s="1" t="s">
        <v>84</v>
      </c>
      <c r="C76" s="2" t="s">
        <v>12</v>
      </c>
      <c r="D76" s="2">
        <v>0.31</v>
      </c>
      <c r="E76" s="2">
        <v>2.7</v>
      </c>
      <c r="F76" s="2">
        <v>38.700000000000003</v>
      </c>
      <c r="G76" s="2">
        <v>24.1</v>
      </c>
      <c r="H76" s="2">
        <v>2.29</v>
      </c>
      <c r="I76" s="4">
        <f t="shared" si="16"/>
        <v>0.31</v>
      </c>
      <c r="J76" s="4">
        <f t="shared" si="17"/>
        <v>2.7</v>
      </c>
      <c r="K76" s="4">
        <f t="shared" si="17"/>
        <v>38.700000000000003</v>
      </c>
      <c r="L76" s="4">
        <f t="shared" si="17"/>
        <v>24.1</v>
      </c>
      <c r="M76" s="4">
        <f t="shared" si="18"/>
        <v>0</v>
      </c>
      <c r="N76" s="3">
        <f t="shared" si="19"/>
        <v>12</v>
      </c>
      <c r="O76" s="3">
        <f t="shared" si="20"/>
        <v>104.5</v>
      </c>
      <c r="P76" s="5">
        <f t="shared" si="21"/>
        <v>0.31007751937984496</v>
      </c>
      <c r="Q76" s="5">
        <f t="shared" si="22"/>
        <v>2.7002583979328163</v>
      </c>
      <c r="R76" s="5">
        <f t="shared" si="23"/>
        <v>38.700000000000003</v>
      </c>
      <c r="S76" s="5">
        <f t="shared" si="24"/>
        <v>24.1</v>
      </c>
      <c r="T76" s="5">
        <f t="shared" si="25"/>
        <v>0</v>
      </c>
      <c r="U76" s="5">
        <f t="shared" si="26"/>
        <v>7.7519379844959158E-5</v>
      </c>
      <c r="V76" s="5">
        <f t="shared" si="27"/>
        <v>2.5839793281612344E-4</v>
      </c>
      <c r="W76" s="5">
        <f t="shared" si="28"/>
        <v>0</v>
      </c>
      <c r="X76" s="5">
        <f t="shared" si="29"/>
        <v>0</v>
      </c>
      <c r="Y76" s="5">
        <f t="shared" si="30"/>
        <v>-2.29</v>
      </c>
    </row>
    <row r="77" spans="1:25" x14ac:dyDescent="0.3">
      <c r="A77" s="1">
        <v>75</v>
      </c>
      <c r="B77" s="1" t="s">
        <v>85</v>
      </c>
      <c r="C77" s="2" t="s">
        <v>10</v>
      </c>
      <c r="D77" s="2">
        <v>0.5</v>
      </c>
      <c r="E77" s="2">
        <v>3</v>
      </c>
      <c r="F77" s="2">
        <v>100</v>
      </c>
      <c r="G77" s="2">
        <v>5</v>
      </c>
      <c r="H77" s="2">
        <v>0</v>
      </c>
      <c r="I77" s="4">
        <f t="shared" si="16"/>
        <v>0.5</v>
      </c>
      <c r="J77" s="4">
        <f t="shared" si="17"/>
        <v>3</v>
      </c>
      <c r="K77" s="4">
        <f t="shared" si="17"/>
        <v>100</v>
      </c>
      <c r="L77" s="4">
        <f t="shared" si="17"/>
        <v>5</v>
      </c>
      <c r="M77" s="4">
        <f t="shared" si="18"/>
        <v>0</v>
      </c>
      <c r="N77" s="3">
        <f t="shared" si="19"/>
        <v>50</v>
      </c>
      <c r="O77" s="3">
        <f t="shared" si="20"/>
        <v>300</v>
      </c>
      <c r="P77" s="5">
        <f t="shared" si="21"/>
        <v>0.5</v>
      </c>
      <c r="Q77" s="5">
        <f t="shared" si="22"/>
        <v>3</v>
      </c>
      <c r="R77" s="5">
        <f t="shared" si="23"/>
        <v>100</v>
      </c>
      <c r="S77" s="5">
        <f t="shared" si="24"/>
        <v>5</v>
      </c>
      <c r="T77" s="5">
        <f t="shared" si="25"/>
        <v>0</v>
      </c>
      <c r="U77" s="5">
        <f t="shared" si="26"/>
        <v>0</v>
      </c>
      <c r="V77" s="5">
        <f t="shared" si="27"/>
        <v>0</v>
      </c>
      <c r="W77" s="5">
        <f t="shared" si="28"/>
        <v>0</v>
      </c>
      <c r="X77" s="5">
        <f t="shared" si="29"/>
        <v>0</v>
      </c>
      <c r="Y77" s="5">
        <f t="shared" si="30"/>
        <v>0</v>
      </c>
    </row>
    <row r="78" spans="1:25" x14ac:dyDescent="0.3">
      <c r="A78" s="1">
        <v>76</v>
      </c>
      <c r="B78" s="1" t="s">
        <v>86</v>
      </c>
      <c r="C78" s="2" t="s">
        <v>12</v>
      </c>
      <c r="D78" s="2">
        <v>0.15</v>
      </c>
      <c r="E78" s="2">
        <v>2.2799999999999998</v>
      </c>
      <c r="F78" s="2">
        <v>30.3</v>
      </c>
      <c r="G78" s="2">
        <v>15.8</v>
      </c>
      <c r="H78" s="2">
        <v>28.8</v>
      </c>
      <c r="I78" s="4">
        <f t="shared" si="16"/>
        <v>0.15</v>
      </c>
      <c r="J78" s="4">
        <f t="shared" si="17"/>
        <v>2.2999999999999998</v>
      </c>
      <c r="K78" s="4">
        <f t="shared" si="17"/>
        <v>30.3</v>
      </c>
      <c r="L78" s="4">
        <f t="shared" si="17"/>
        <v>15.8</v>
      </c>
      <c r="M78" s="4">
        <f t="shared" si="18"/>
        <v>30</v>
      </c>
      <c r="N78" s="3">
        <f t="shared" si="19"/>
        <v>4.5</v>
      </c>
      <c r="O78" s="3">
        <f t="shared" si="20"/>
        <v>69.7</v>
      </c>
      <c r="P78" s="5">
        <f t="shared" si="21"/>
        <v>0.14851485148514851</v>
      </c>
      <c r="Q78" s="5">
        <f t="shared" si="22"/>
        <v>2.3003300330033003</v>
      </c>
      <c r="R78" s="5">
        <f t="shared" si="23"/>
        <v>30.3</v>
      </c>
      <c r="S78" s="5">
        <f t="shared" si="24"/>
        <v>15.8</v>
      </c>
      <c r="T78" s="5">
        <f t="shared" si="25"/>
        <v>30</v>
      </c>
      <c r="U78" s="5">
        <f t="shared" si="26"/>
        <v>-1.4851485148514865E-3</v>
      </c>
      <c r="V78" s="5">
        <f t="shared" si="27"/>
        <v>2.0330033003300496E-2</v>
      </c>
      <c r="W78" s="5">
        <f t="shared" si="28"/>
        <v>0</v>
      </c>
      <c r="X78" s="5">
        <f t="shared" si="29"/>
        <v>0</v>
      </c>
      <c r="Y78" s="5">
        <f t="shared" si="30"/>
        <v>1.1999999999999993</v>
      </c>
    </row>
    <row r="79" spans="1:25" x14ac:dyDescent="0.3">
      <c r="A79" s="1">
        <v>77</v>
      </c>
      <c r="B79" s="1" t="s">
        <v>87</v>
      </c>
      <c r="C79" s="2" t="s">
        <v>12</v>
      </c>
      <c r="D79" s="2">
        <v>0.4</v>
      </c>
      <c r="E79" s="2">
        <v>1.28</v>
      </c>
      <c r="F79" s="2">
        <v>40</v>
      </c>
      <c r="G79" s="2">
        <v>10.199999999999999</v>
      </c>
      <c r="H79" s="2">
        <v>17.600000000000001</v>
      </c>
      <c r="I79" s="4">
        <f t="shared" si="16"/>
        <v>0.4</v>
      </c>
      <c r="J79" s="4">
        <f t="shared" si="17"/>
        <v>1.3</v>
      </c>
      <c r="K79" s="4">
        <f t="shared" si="17"/>
        <v>40</v>
      </c>
      <c r="L79" s="4">
        <f t="shared" si="17"/>
        <v>10.199999999999999</v>
      </c>
      <c r="M79" s="4">
        <f t="shared" si="18"/>
        <v>20</v>
      </c>
      <c r="N79" s="3">
        <f t="shared" si="19"/>
        <v>16</v>
      </c>
      <c r="O79" s="3">
        <f t="shared" si="20"/>
        <v>52</v>
      </c>
      <c r="P79" s="5">
        <f t="shared" si="21"/>
        <v>0.4</v>
      </c>
      <c r="Q79" s="5">
        <f t="shared" si="22"/>
        <v>1.3</v>
      </c>
      <c r="R79" s="5">
        <f t="shared" si="23"/>
        <v>40</v>
      </c>
      <c r="S79" s="5">
        <f t="shared" si="24"/>
        <v>10.199999999999999</v>
      </c>
      <c r="T79" s="5">
        <f t="shared" si="25"/>
        <v>20</v>
      </c>
      <c r="U79" s="5">
        <f t="shared" si="26"/>
        <v>0</v>
      </c>
      <c r="V79" s="5">
        <f t="shared" si="27"/>
        <v>2.0000000000000018E-2</v>
      </c>
      <c r="W79" s="5">
        <f t="shared" si="28"/>
        <v>0</v>
      </c>
      <c r="X79" s="5">
        <f t="shared" si="29"/>
        <v>0</v>
      </c>
      <c r="Y79" s="5">
        <f t="shared" si="30"/>
        <v>2.3999999999999986</v>
      </c>
    </row>
    <row r="80" spans="1:25" x14ac:dyDescent="0.3">
      <c r="A80" s="1">
        <v>78</v>
      </c>
      <c r="B80" s="1" t="s">
        <v>88</v>
      </c>
      <c r="C80" s="2" t="s">
        <v>12</v>
      </c>
      <c r="D80" s="2">
        <v>0.17</v>
      </c>
      <c r="E80" s="2">
        <v>1.54</v>
      </c>
      <c r="F80" s="2">
        <v>90.5</v>
      </c>
      <c r="G80" s="2">
        <v>21.5</v>
      </c>
      <c r="H80" s="2">
        <v>3.74</v>
      </c>
      <c r="I80" s="4">
        <f t="shared" si="16"/>
        <v>0.17</v>
      </c>
      <c r="J80" s="4">
        <f t="shared" si="17"/>
        <v>1.5</v>
      </c>
      <c r="K80" s="4">
        <f t="shared" si="17"/>
        <v>90.5</v>
      </c>
      <c r="L80" s="4">
        <f t="shared" si="17"/>
        <v>21.5</v>
      </c>
      <c r="M80" s="4">
        <f t="shared" si="18"/>
        <v>5</v>
      </c>
      <c r="N80" s="3">
        <f t="shared" si="19"/>
        <v>15.4</v>
      </c>
      <c r="O80" s="3">
        <f t="shared" si="20"/>
        <v>135.80000000000001</v>
      </c>
      <c r="P80" s="5">
        <f t="shared" si="21"/>
        <v>0.17016574585635361</v>
      </c>
      <c r="Q80" s="5">
        <f t="shared" si="22"/>
        <v>1.5005524861878454</v>
      </c>
      <c r="R80" s="5">
        <f t="shared" si="23"/>
        <v>90.5</v>
      </c>
      <c r="S80" s="5">
        <f t="shared" si="24"/>
        <v>21.5</v>
      </c>
      <c r="T80" s="5">
        <f t="shared" si="25"/>
        <v>5</v>
      </c>
      <c r="U80" s="5">
        <f t="shared" si="26"/>
        <v>1.6574585635359407E-4</v>
      </c>
      <c r="V80" s="5">
        <f t="shared" si="27"/>
        <v>-3.9447513812154611E-2</v>
      </c>
      <c r="W80" s="5">
        <f t="shared" si="28"/>
        <v>0</v>
      </c>
      <c r="X80" s="5">
        <f t="shared" si="29"/>
        <v>0</v>
      </c>
      <c r="Y80" s="5">
        <f t="shared" si="30"/>
        <v>1.2599999999999998</v>
      </c>
    </row>
    <row r="81" spans="1:25" x14ac:dyDescent="0.3">
      <c r="A81" s="1">
        <v>79</v>
      </c>
      <c r="B81" s="1" t="s">
        <v>89</v>
      </c>
      <c r="C81" s="2" t="s">
        <v>12</v>
      </c>
      <c r="D81" s="2">
        <v>0.2</v>
      </c>
      <c r="E81" s="2">
        <v>1.61</v>
      </c>
      <c r="F81" s="2">
        <v>51.2</v>
      </c>
      <c r="G81" s="2">
        <v>7.14</v>
      </c>
      <c r="H81" s="2">
        <v>12.8</v>
      </c>
      <c r="I81" s="4">
        <f t="shared" si="16"/>
        <v>0.2</v>
      </c>
      <c r="J81" s="4">
        <f t="shared" si="17"/>
        <v>1.6</v>
      </c>
      <c r="K81" s="4">
        <f t="shared" si="17"/>
        <v>51.2</v>
      </c>
      <c r="L81" s="4">
        <f t="shared" si="17"/>
        <v>7.1</v>
      </c>
      <c r="M81" s="4">
        <f t="shared" si="18"/>
        <v>15</v>
      </c>
      <c r="N81" s="3">
        <f t="shared" si="19"/>
        <v>10.199999999999999</v>
      </c>
      <c r="O81" s="3">
        <f t="shared" si="20"/>
        <v>81.900000000000006</v>
      </c>
      <c r="P81" s="5">
        <f t="shared" si="21"/>
        <v>0.19921874999999997</v>
      </c>
      <c r="Q81" s="5">
        <f t="shared" si="22"/>
        <v>1.599609375</v>
      </c>
      <c r="R81" s="5">
        <f t="shared" si="23"/>
        <v>51.2</v>
      </c>
      <c r="S81" s="5">
        <f t="shared" si="24"/>
        <v>7.1</v>
      </c>
      <c r="T81" s="5">
        <f t="shared" si="25"/>
        <v>15</v>
      </c>
      <c r="U81" s="5">
        <f t="shared" si="26"/>
        <v>-7.8125000000003886E-4</v>
      </c>
      <c r="V81" s="5">
        <f t="shared" si="27"/>
        <v>-1.0390625000000098E-2</v>
      </c>
      <c r="W81" s="5">
        <f t="shared" si="28"/>
        <v>0</v>
      </c>
      <c r="X81" s="5">
        <f t="shared" si="29"/>
        <v>-4.0000000000000036E-2</v>
      </c>
      <c r="Y81" s="5">
        <f t="shared" si="30"/>
        <v>2.1999999999999993</v>
      </c>
    </row>
    <row r="82" spans="1:25" x14ac:dyDescent="0.3">
      <c r="A82" s="1">
        <v>80</v>
      </c>
      <c r="B82" s="1" t="s">
        <v>90</v>
      </c>
      <c r="C82" s="2" t="s">
        <v>12</v>
      </c>
      <c r="D82" s="2">
        <v>0.44</v>
      </c>
      <c r="E82" s="2">
        <v>2.67</v>
      </c>
      <c r="F82" s="2">
        <v>91.2</v>
      </c>
      <c r="G82" s="2">
        <v>19.399999999999999</v>
      </c>
      <c r="H82" s="2">
        <v>62</v>
      </c>
      <c r="I82" s="4">
        <f t="shared" si="16"/>
        <v>0.44</v>
      </c>
      <c r="J82" s="4">
        <f t="shared" si="17"/>
        <v>2.7</v>
      </c>
      <c r="K82" s="4">
        <f t="shared" si="17"/>
        <v>91.2</v>
      </c>
      <c r="L82" s="4">
        <f t="shared" si="17"/>
        <v>19.399999999999999</v>
      </c>
      <c r="M82" s="4">
        <f t="shared" si="18"/>
        <v>60</v>
      </c>
      <c r="N82" s="3">
        <f t="shared" si="19"/>
        <v>40.1</v>
      </c>
      <c r="O82" s="3">
        <f t="shared" si="20"/>
        <v>246.2</v>
      </c>
      <c r="P82" s="5">
        <f t="shared" si="21"/>
        <v>0.43969298245614036</v>
      </c>
      <c r="Q82" s="5">
        <f t="shared" si="22"/>
        <v>2.6995614035087718</v>
      </c>
      <c r="R82" s="5">
        <f t="shared" si="23"/>
        <v>91.2</v>
      </c>
      <c r="S82" s="5">
        <f t="shared" si="24"/>
        <v>19.399999999999999</v>
      </c>
      <c r="T82" s="5">
        <f t="shared" si="25"/>
        <v>60</v>
      </c>
      <c r="U82" s="5">
        <f t="shared" si="26"/>
        <v>-3.0701754385964453E-4</v>
      </c>
      <c r="V82" s="5">
        <f t="shared" si="27"/>
        <v>2.95614035087719E-2</v>
      </c>
      <c r="W82" s="5">
        <f t="shared" si="28"/>
        <v>0</v>
      </c>
      <c r="X82" s="5">
        <f t="shared" si="29"/>
        <v>0</v>
      </c>
      <c r="Y82" s="5">
        <f t="shared" si="30"/>
        <v>-2</v>
      </c>
    </row>
    <row r="83" spans="1:25" x14ac:dyDescent="0.3">
      <c r="A83" s="1">
        <v>81</v>
      </c>
      <c r="B83" s="1" t="s">
        <v>91</v>
      </c>
      <c r="C83" s="2" t="s">
        <v>12</v>
      </c>
      <c r="D83" s="2">
        <v>0.24</v>
      </c>
      <c r="E83" s="2">
        <v>2.93</v>
      </c>
      <c r="F83" s="2">
        <v>94.4</v>
      </c>
      <c r="G83" s="2">
        <v>12.3</v>
      </c>
      <c r="H83" s="2">
        <v>74.2</v>
      </c>
      <c r="I83" s="4">
        <f t="shared" si="16"/>
        <v>0.24</v>
      </c>
      <c r="J83" s="4">
        <f t="shared" si="17"/>
        <v>2.9</v>
      </c>
      <c r="K83" s="4">
        <f t="shared" si="17"/>
        <v>94.4</v>
      </c>
      <c r="L83" s="4">
        <f t="shared" si="17"/>
        <v>12.3</v>
      </c>
      <c r="M83" s="4">
        <f t="shared" si="18"/>
        <v>75</v>
      </c>
      <c r="N83" s="3">
        <f t="shared" si="19"/>
        <v>22.7</v>
      </c>
      <c r="O83" s="3">
        <f t="shared" si="20"/>
        <v>273.8</v>
      </c>
      <c r="P83" s="5">
        <f t="shared" si="21"/>
        <v>0.24046610169491522</v>
      </c>
      <c r="Q83" s="5">
        <f t="shared" si="22"/>
        <v>2.9004237288135593</v>
      </c>
      <c r="R83" s="5">
        <f t="shared" si="23"/>
        <v>94.4</v>
      </c>
      <c r="S83" s="5">
        <f t="shared" si="24"/>
        <v>12.3</v>
      </c>
      <c r="T83" s="5">
        <f t="shared" si="25"/>
        <v>75</v>
      </c>
      <c r="U83" s="5">
        <f t="shared" si="26"/>
        <v>4.6610169491523301E-4</v>
      </c>
      <c r="V83" s="5">
        <f t="shared" si="27"/>
        <v>-2.9576271186440906E-2</v>
      </c>
      <c r="W83" s="5">
        <f t="shared" si="28"/>
        <v>0</v>
      </c>
      <c r="X83" s="5">
        <f t="shared" si="29"/>
        <v>0</v>
      </c>
      <c r="Y83" s="5">
        <f t="shared" si="30"/>
        <v>0.79999999999999716</v>
      </c>
    </row>
    <row r="84" spans="1:25" x14ac:dyDescent="0.3">
      <c r="A84" s="1">
        <v>82</v>
      </c>
      <c r="B84" s="1" t="s">
        <v>92</v>
      </c>
      <c r="C84" s="2" t="s">
        <v>10</v>
      </c>
      <c r="D84" s="2">
        <v>0.5</v>
      </c>
      <c r="E84" s="2">
        <v>3</v>
      </c>
      <c r="F84" s="2">
        <v>10</v>
      </c>
      <c r="G84" s="2">
        <v>25</v>
      </c>
      <c r="H84" s="2">
        <v>90</v>
      </c>
      <c r="I84" s="4">
        <f t="shared" si="16"/>
        <v>0.5</v>
      </c>
      <c r="J84" s="4">
        <f t="shared" si="17"/>
        <v>3</v>
      </c>
      <c r="K84" s="4">
        <f t="shared" si="17"/>
        <v>10</v>
      </c>
      <c r="L84" s="4">
        <f t="shared" si="17"/>
        <v>25</v>
      </c>
      <c r="M84" s="4">
        <f t="shared" si="18"/>
        <v>90</v>
      </c>
      <c r="N84" s="3">
        <f t="shared" si="19"/>
        <v>5</v>
      </c>
      <c r="O84" s="3">
        <f t="shared" si="20"/>
        <v>30</v>
      </c>
      <c r="P84" s="5">
        <f t="shared" si="21"/>
        <v>0.5</v>
      </c>
      <c r="Q84" s="5">
        <f t="shared" si="22"/>
        <v>3</v>
      </c>
      <c r="R84" s="5">
        <f t="shared" si="23"/>
        <v>10</v>
      </c>
      <c r="S84" s="5">
        <f t="shared" si="24"/>
        <v>25</v>
      </c>
      <c r="T84" s="5">
        <f t="shared" si="25"/>
        <v>90</v>
      </c>
      <c r="U84" s="5">
        <f t="shared" si="26"/>
        <v>0</v>
      </c>
      <c r="V84" s="5">
        <f t="shared" si="27"/>
        <v>0</v>
      </c>
      <c r="W84" s="5">
        <f t="shared" si="28"/>
        <v>0</v>
      </c>
      <c r="X84" s="5">
        <f t="shared" si="29"/>
        <v>0</v>
      </c>
      <c r="Y84" s="5">
        <f t="shared" si="30"/>
        <v>0</v>
      </c>
    </row>
    <row r="85" spans="1:25" x14ac:dyDescent="0.3">
      <c r="A85" s="1">
        <v>83</v>
      </c>
      <c r="B85" s="1" t="s">
        <v>93</v>
      </c>
      <c r="C85" s="2" t="s">
        <v>10</v>
      </c>
      <c r="D85" s="2">
        <v>0.1</v>
      </c>
      <c r="E85" s="2">
        <v>1</v>
      </c>
      <c r="F85" s="2">
        <v>100</v>
      </c>
      <c r="G85" s="2">
        <v>25</v>
      </c>
      <c r="H85" s="2">
        <v>0</v>
      </c>
      <c r="I85" s="4">
        <f t="shared" si="16"/>
        <v>0.1</v>
      </c>
      <c r="J85" s="4">
        <f t="shared" si="17"/>
        <v>1</v>
      </c>
      <c r="K85" s="4">
        <f t="shared" si="17"/>
        <v>100</v>
      </c>
      <c r="L85" s="4">
        <f t="shared" si="17"/>
        <v>25</v>
      </c>
      <c r="M85" s="4">
        <f t="shared" si="18"/>
        <v>0</v>
      </c>
      <c r="N85" s="3">
        <f t="shared" si="19"/>
        <v>10</v>
      </c>
      <c r="O85" s="3">
        <f t="shared" si="20"/>
        <v>100</v>
      </c>
      <c r="P85" s="5">
        <f t="shared" si="21"/>
        <v>0.1</v>
      </c>
      <c r="Q85" s="5">
        <f t="shared" si="22"/>
        <v>1</v>
      </c>
      <c r="R85" s="5">
        <f t="shared" si="23"/>
        <v>100</v>
      </c>
      <c r="S85" s="5">
        <f t="shared" si="24"/>
        <v>25</v>
      </c>
      <c r="T85" s="5">
        <f t="shared" si="25"/>
        <v>0</v>
      </c>
      <c r="U85" s="5">
        <f t="shared" si="26"/>
        <v>0</v>
      </c>
      <c r="V85" s="5">
        <f t="shared" si="27"/>
        <v>0</v>
      </c>
      <c r="W85" s="5">
        <f t="shared" si="28"/>
        <v>0</v>
      </c>
      <c r="X85" s="5">
        <f t="shared" si="29"/>
        <v>0</v>
      </c>
      <c r="Y85" s="5">
        <f t="shared" si="30"/>
        <v>0</v>
      </c>
    </row>
    <row r="86" spans="1:25" x14ac:dyDescent="0.3">
      <c r="A86" s="1">
        <v>84</v>
      </c>
      <c r="B86" s="1" t="s">
        <v>94</v>
      </c>
      <c r="C86" s="2" t="s">
        <v>12</v>
      </c>
      <c r="D86" s="2">
        <v>0.35</v>
      </c>
      <c r="E86" s="2">
        <v>2.66</v>
      </c>
      <c r="F86" s="2">
        <v>11.5</v>
      </c>
      <c r="G86" s="2">
        <v>11</v>
      </c>
      <c r="H86" s="2">
        <v>33.299999999999997</v>
      </c>
      <c r="I86" s="4">
        <f t="shared" si="16"/>
        <v>0.35</v>
      </c>
      <c r="J86" s="4">
        <f t="shared" si="17"/>
        <v>2.7</v>
      </c>
      <c r="K86" s="4">
        <f t="shared" si="17"/>
        <v>11.5</v>
      </c>
      <c r="L86" s="4">
        <f t="shared" si="17"/>
        <v>11</v>
      </c>
      <c r="M86" s="4">
        <f t="shared" si="18"/>
        <v>35</v>
      </c>
      <c r="N86" s="3">
        <f t="shared" si="19"/>
        <v>4</v>
      </c>
      <c r="O86" s="3">
        <f t="shared" si="20"/>
        <v>31.1</v>
      </c>
      <c r="P86" s="5">
        <f t="shared" si="21"/>
        <v>0.34782608695652173</v>
      </c>
      <c r="Q86" s="5">
        <f t="shared" si="22"/>
        <v>2.7043478260869565</v>
      </c>
      <c r="R86" s="5">
        <f t="shared" si="23"/>
        <v>11.5</v>
      </c>
      <c r="S86" s="5">
        <f t="shared" si="24"/>
        <v>11</v>
      </c>
      <c r="T86" s="5">
        <f t="shared" si="25"/>
        <v>35</v>
      </c>
      <c r="U86" s="5">
        <f t="shared" si="26"/>
        <v>-2.1739130434782483E-3</v>
      </c>
      <c r="V86" s="5">
        <f t="shared" si="27"/>
        <v>4.434782608695631E-2</v>
      </c>
      <c r="W86" s="5">
        <f t="shared" si="28"/>
        <v>0</v>
      </c>
      <c r="X86" s="5">
        <f t="shared" si="29"/>
        <v>0</v>
      </c>
      <c r="Y86" s="5">
        <f t="shared" si="30"/>
        <v>1.7000000000000028</v>
      </c>
    </row>
    <row r="87" spans="1:25" x14ac:dyDescent="0.3">
      <c r="A87" s="1">
        <v>85</v>
      </c>
      <c r="B87" s="1" t="s">
        <v>95</v>
      </c>
      <c r="C87" s="2" t="s">
        <v>12</v>
      </c>
      <c r="D87" s="2">
        <v>0.13</v>
      </c>
      <c r="E87" s="2">
        <v>1.65</v>
      </c>
      <c r="F87" s="2">
        <v>25.5</v>
      </c>
      <c r="G87" s="2">
        <v>20.8</v>
      </c>
      <c r="H87" s="2">
        <v>23.8</v>
      </c>
      <c r="I87" s="4">
        <f t="shared" si="16"/>
        <v>0.13</v>
      </c>
      <c r="J87" s="4">
        <f t="shared" si="17"/>
        <v>1.7</v>
      </c>
      <c r="K87" s="4">
        <f t="shared" si="17"/>
        <v>25.5</v>
      </c>
      <c r="L87" s="4">
        <f t="shared" si="17"/>
        <v>20.8</v>
      </c>
      <c r="M87" s="4">
        <f t="shared" si="18"/>
        <v>25</v>
      </c>
      <c r="N87" s="3">
        <f t="shared" si="19"/>
        <v>3.3</v>
      </c>
      <c r="O87" s="3">
        <f t="shared" si="20"/>
        <v>43.4</v>
      </c>
      <c r="P87" s="5">
        <f t="shared" si="21"/>
        <v>0.12941176470588234</v>
      </c>
      <c r="Q87" s="5">
        <f t="shared" si="22"/>
        <v>1.7019607843137254</v>
      </c>
      <c r="R87" s="5">
        <f t="shared" si="23"/>
        <v>25.5</v>
      </c>
      <c r="S87" s="5">
        <f t="shared" si="24"/>
        <v>20.8</v>
      </c>
      <c r="T87" s="5">
        <f t="shared" si="25"/>
        <v>25</v>
      </c>
      <c r="U87" s="5">
        <f t="shared" si="26"/>
        <v>-5.8823529411766717E-4</v>
      </c>
      <c r="V87" s="5">
        <f t="shared" si="27"/>
        <v>5.1960784313725528E-2</v>
      </c>
      <c r="W87" s="5">
        <f t="shared" si="28"/>
        <v>0</v>
      </c>
      <c r="X87" s="5">
        <f t="shared" si="29"/>
        <v>0</v>
      </c>
      <c r="Y87" s="5">
        <f t="shared" si="30"/>
        <v>1.1999999999999993</v>
      </c>
    </row>
    <row r="88" spans="1:25" x14ac:dyDescent="0.3">
      <c r="A88" s="1">
        <v>86</v>
      </c>
      <c r="B88" s="1" t="s">
        <v>96</v>
      </c>
      <c r="C88" s="2" t="s">
        <v>12</v>
      </c>
      <c r="D88" s="2">
        <v>0.18</v>
      </c>
      <c r="E88" s="2">
        <v>1.94</v>
      </c>
      <c r="F88" s="2">
        <v>78.3</v>
      </c>
      <c r="G88" s="2">
        <v>9.6</v>
      </c>
      <c r="H88" s="2">
        <v>69.5</v>
      </c>
      <c r="I88" s="4">
        <f t="shared" si="16"/>
        <v>0.18</v>
      </c>
      <c r="J88" s="4">
        <f t="shared" si="17"/>
        <v>1.9</v>
      </c>
      <c r="K88" s="4">
        <f t="shared" si="17"/>
        <v>78.3</v>
      </c>
      <c r="L88" s="4">
        <f t="shared" si="17"/>
        <v>9.6</v>
      </c>
      <c r="M88" s="4">
        <f t="shared" si="18"/>
        <v>70</v>
      </c>
      <c r="N88" s="3">
        <f t="shared" si="19"/>
        <v>14.1</v>
      </c>
      <c r="O88" s="3">
        <f t="shared" si="20"/>
        <v>148.80000000000001</v>
      </c>
      <c r="P88" s="5">
        <f t="shared" si="21"/>
        <v>0.18007662835249041</v>
      </c>
      <c r="Q88" s="5">
        <f t="shared" si="22"/>
        <v>1.9003831417624524</v>
      </c>
      <c r="R88" s="5">
        <f t="shared" si="23"/>
        <v>78.3</v>
      </c>
      <c r="S88" s="5">
        <f t="shared" si="24"/>
        <v>9.6</v>
      </c>
      <c r="T88" s="5">
        <f t="shared" si="25"/>
        <v>70</v>
      </c>
      <c r="U88" s="5">
        <f t="shared" si="26"/>
        <v>7.6628352490420992E-5</v>
      </c>
      <c r="V88" s="5">
        <f t="shared" si="27"/>
        <v>-3.961685823754757E-2</v>
      </c>
      <c r="W88" s="5">
        <f t="shared" si="28"/>
        <v>0</v>
      </c>
      <c r="X88" s="5">
        <f t="shared" si="29"/>
        <v>0</v>
      </c>
      <c r="Y88" s="5">
        <f t="shared" si="30"/>
        <v>0.5</v>
      </c>
    </row>
    <row r="89" spans="1:25" x14ac:dyDescent="0.3">
      <c r="A89" s="1">
        <v>87</v>
      </c>
      <c r="B89" s="1" t="s">
        <v>97</v>
      </c>
      <c r="C89" s="2" t="s">
        <v>12</v>
      </c>
      <c r="D89" s="2">
        <v>0.49</v>
      </c>
      <c r="E89" s="2">
        <v>2.42</v>
      </c>
      <c r="F89" s="2">
        <v>47.6</v>
      </c>
      <c r="G89" s="2">
        <v>13.5</v>
      </c>
      <c r="H89" s="2">
        <v>34.1</v>
      </c>
      <c r="I89" s="4">
        <f t="shared" si="16"/>
        <v>0.49</v>
      </c>
      <c r="J89" s="4">
        <f t="shared" si="17"/>
        <v>2.4</v>
      </c>
      <c r="K89" s="4">
        <f t="shared" si="17"/>
        <v>47.6</v>
      </c>
      <c r="L89" s="4">
        <f t="shared" si="17"/>
        <v>13.5</v>
      </c>
      <c r="M89" s="4">
        <f t="shared" si="18"/>
        <v>35</v>
      </c>
      <c r="N89" s="3">
        <f t="shared" si="19"/>
        <v>23.3</v>
      </c>
      <c r="O89" s="3">
        <f t="shared" si="20"/>
        <v>114.2</v>
      </c>
      <c r="P89" s="5">
        <f t="shared" si="21"/>
        <v>0.48949579831932771</v>
      </c>
      <c r="Q89" s="5">
        <f t="shared" si="22"/>
        <v>2.3991596638655461</v>
      </c>
      <c r="R89" s="5">
        <f t="shared" si="23"/>
        <v>47.6</v>
      </c>
      <c r="S89" s="5">
        <f t="shared" si="24"/>
        <v>13.5</v>
      </c>
      <c r="T89" s="5">
        <f t="shared" si="25"/>
        <v>35</v>
      </c>
      <c r="U89" s="5">
        <f t="shared" si="26"/>
        <v>-5.0420168067227822E-4</v>
      </c>
      <c r="V89" s="5">
        <f t="shared" si="27"/>
        <v>-2.0840336134453796E-2</v>
      </c>
      <c r="W89" s="5">
        <f t="shared" si="28"/>
        <v>0</v>
      </c>
      <c r="X89" s="5">
        <f t="shared" si="29"/>
        <v>0</v>
      </c>
      <c r="Y89" s="5">
        <f t="shared" si="30"/>
        <v>0.89999999999999858</v>
      </c>
    </row>
    <row r="90" spans="1:25" x14ac:dyDescent="0.3">
      <c r="A90" s="1">
        <v>88</v>
      </c>
      <c r="B90" s="1" t="s">
        <v>98</v>
      </c>
      <c r="C90" s="2" t="s">
        <v>12</v>
      </c>
      <c r="D90" s="2">
        <v>0.2</v>
      </c>
      <c r="E90" s="2">
        <v>1.01</v>
      </c>
      <c r="F90" s="2">
        <v>27.9</v>
      </c>
      <c r="G90" s="2">
        <v>13.1</v>
      </c>
      <c r="H90" s="2">
        <v>51.3</v>
      </c>
      <c r="I90" s="4">
        <f t="shared" si="16"/>
        <v>0.2</v>
      </c>
      <c r="J90" s="4">
        <f t="shared" si="17"/>
        <v>1</v>
      </c>
      <c r="K90" s="4">
        <f t="shared" si="17"/>
        <v>27.9</v>
      </c>
      <c r="L90" s="4">
        <f t="shared" si="17"/>
        <v>13.1</v>
      </c>
      <c r="M90" s="4">
        <f t="shared" si="18"/>
        <v>50</v>
      </c>
      <c r="N90" s="3">
        <f t="shared" si="19"/>
        <v>5.6</v>
      </c>
      <c r="O90" s="3">
        <f t="shared" si="20"/>
        <v>27.9</v>
      </c>
      <c r="P90" s="5">
        <f t="shared" si="21"/>
        <v>0.20071684587813621</v>
      </c>
      <c r="Q90" s="5">
        <f t="shared" si="22"/>
        <v>1</v>
      </c>
      <c r="R90" s="5">
        <f t="shared" si="23"/>
        <v>27.9</v>
      </c>
      <c r="S90" s="5">
        <f t="shared" si="24"/>
        <v>13.1</v>
      </c>
      <c r="T90" s="5">
        <f t="shared" si="25"/>
        <v>50</v>
      </c>
      <c r="U90" s="5">
        <f t="shared" si="26"/>
        <v>7.1684587813619638E-4</v>
      </c>
      <c r="V90" s="5">
        <f t="shared" si="27"/>
        <v>-1.0000000000000009E-2</v>
      </c>
      <c r="W90" s="5">
        <f t="shared" si="28"/>
        <v>0</v>
      </c>
      <c r="X90" s="5">
        <f t="shared" si="29"/>
        <v>0</v>
      </c>
      <c r="Y90" s="5">
        <f t="shared" si="30"/>
        <v>-1.2999999999999972</v>
      </c>
    </row>
    <row r="91" spans="1:25" x14ac:dyDescent="0.3">
      <c r="A91" s="1">
        <v>89</v>
      </c>
      <c r="B91" s="1" t="s">
        <v>99</v>
      </c>
      <c r="C91" s="2" t="s">
        <v>12</v>
      </c>
      <c r="D91" s="2">
        <v>0.22</v>
      </c>
      <c r="E91" s="2">
        <v>1.21</v>
      </c>
      <c r="F91" s="2">
        <v>32.299999999999997</v>
      </c>
      <c r="G91" s="2">
        <v>23.1</v>
      </c>
      <c r="H91" s="2">
        <v>56.3</v>
      </c>
      <c r="I91" s="4">
        <f t="shared" si="16"/>
        <v>0.22</v>
      </c>
      <c r="J91" s="4">
        <f t="shared" si="17"/>
        <v>1.2</v>
      </c>
      <c r="K91" s="4">
        <f t="shared" si="17"/>
        <v>32.299999999999997</v>
      </c>
      <c r="L91" s="4">
        <f t="shared" si="17"/>
        <v>23.1</v>
      </c>
      <c r="M91" s="4">
        <f t="shared" si="18"/>
        <v>55</v>
      </c>
      <c r="N91" s="3">
        <f t="shared" si="19"/>
        <v>7.1</v>
      </c>
      <c r="O91" s="3">
        <f t="shared" si="20"/>
        <v>38.799999999999997</v>
      </c>
      <c r="P91" s="5">
        <f t="shared" si="21"/>
        <v>0.21981424148606812</v>
      </c>
      <c r="Q91" s="5">
        <f t="shared" si="22"/>
        <v>1.2012383900928794</v>
      </c>
      <c r="R91" s="5">
        <f t="shared" si="23"/>
        <v>32.299999999999997</v>
      </c>
      <c r="S91" s="5">
        <f t="shared" si="24"/>
        <v>23.1</v>
      </c>
      <c r="T91" s="5">
        <f t="shared" si="25"/>
        <v>55</v>
      </c>
      <c r="U91" s="5">
        <f t="shared" si="26"/>
        <v>-1.8575851393187737E-4</v>
      </c>
      <c r="V91" s="5">
        <f t="shared" si="27"/>
        <v>-8.7616099071206044E-3</v>
      </c>
      <c r="W91" s="5">
        <f t="shared" si="28"/>
        <v>0</v>
      </c>
      <c r="X91" s="5">
        <f t="shared" si="29"/>
        <v>0</v>
      </c>
      <c r="Y91" s="5">
        <f t="shared" si="30"/>
        <v>-1.2999999999999972</v>
      </c>
    </row>
    <row r="92" spans="1:25" x14ac:dyDescent="0.3">
      <c r="A92" s="1">
        <v>90</v>
      </c>
      <c r="B92" s="1" t="s">
        <v>100</v>
      </c>
      <c r="C92" s="2" t="s">
        <v>12</v>
      </c>
      <c r="D92" s="2">
        <v>0.38</v>
      </c>
      <c r="E92" s="2">
        <v>1.33</v>
      </c>
      <c r="F92" s="2">
        <v>43.9</v>
      </c>
      <c r="G92" s="2">
        <v>16.399999999999999</v>
      </c>
      <c r="H92" s="2">
        <v>27.7</v>
      </c>
      <c r="I92" s="4">
        <f t="shared" si="16"/>
        <v>0.38</v>
      </c>
      <c r="J92" s="4">
        <f t="shared" si="17"/>
        <v>1.3</v>
      </c>
      <c r="K92" s="4">
        <f t="shared" si="17"/>
        <v>43.9</v>
      </c>
      <c r="L92" s="4">
        <f t="shared" si="17"/>
        <v>16.399999999999999</v>
      </c>
      <c r="M92" s="4">
        <f t="shared" si="18"/>
        <v>30</v>
      </c>
      <c r="N92" s="3">
        <f t="shared" si="19"/>
        <v>16.7</v>
      </c>
      <c r="O92" s="3">
        <f t="shared" si="20"/>
        <v>57.1</v>
      </c>
      <c r="P92" s="5">
        <f t="shared" si="21"/>
        <v>0.38041002277904329</v>
      </c>
      <c r="Q92" s="5">
        <f t="shared" si="22"/>
        <v>1.3006833712984056</v>
      </c>
      <c r="R92" s="5">
        <f t="shared" si="23"/>
        <v>43.9</v>
      </c>
      <c r="S92" s="5">
        <f t="shared" si="24"/>
        <v>16.399999999999999</v>
      </c>
      <c r="T92" s="5">
        <f t="shared" si="25"/>
        <v>30</v>
      </c>
      <c r="U92" s="5">
        <f t="shared" si="26"/>
        <v>4.1002277904328421E-4</v>
      </c>
      <c r="V92" s="5">
        <f t="shared" si="27"/>
        <v>-2.931662870159446E-2</v>
      </c>
      <c r="W92" s="5">
        <f t="shared" si="28"/>
        <v>0</v>
      </c>
      <c r="X92" s="5">
        <f t="shared" si="29"/>
        <v>0</v>
      </c>
      <c r="Y92" s="5">
        <f t="shared" si="30"/>
        <v>2.3000000000000007</v>
      </c>
    </row>
    <row r="93" spans="1:25" x14ac:dyDescent="0.3">
      <c r="A93" s="1">
        <v>91</v>
      </c>
      <c r="B93" s="1" t="s">
        <v>101</v>
      </c>
      <c r="C93" s="2" t="s">
        <v>12</v>
      </c>
      <c r="D93" s="2">
        <v>0.11</v>
      </c>
      <c r="E93" s="2">
        <v>2.61</v>
      </c>
      <c r="F93" s="2">
        <v>36.799999999999997</v>
      </c>
      <c r="G93" s="2">
        <v>17.5</v>
      </c>
      <c r="H93" s="2">
        <v>60.8</v>
      </c>
      <c r="I93" s="4">
        <f t="shared" si="16"/>
        <v>0.11</v>
      </c>
      <c r="J93" s="4">
        <f t="shared" si="17"/>
        <v>2.6</v>
      </c>
      <c r="K93" s="4">
        <f t="shared" si="17"/>
        <v>36.799999999999997</v>
      </c>
      <c r="L93" s="4">
        <f t="shared" si="17"/>
        <v>17.5</v>
      </c>
      <c r="M93" s="4">
        <f t="shared" si="18"/>
        <v>60</v>
      </c>
      <c r="N93" s="3">
        <f t="shared" si="19"/>
        <v>4</v>
      </c>
      <c r="O93" s="3">
        <f t="shared" si="20"/>
        <v>95.7</v>
      </c>
      <c r="P93" s="5">
        <f t="shared" si="21"/>
        <v>0.10869565217391305</v>
      </c>
      <c r="Q93" s="5">
        <f t="shared" si="22"/>
        <v>2.6005434782608696</v>
      </c>
      <c r="R93" s="5">
        <f t="shared" si="23"/>
        <v>36.799999999999997</v>
      </c>
      <c r="S93" s="5">
        <f t="shared" si="24"/>
        <v>17.5</v>
      </c>
      <c r="T93" s="5">
        <f t="shared" si="25"/>
        <v>60</v>
      </c>
      <c r="U93" s="5">
        <f t="shared" si="26"/>
        <v>-1.3043478260869462E-3</v>
      </c>
      <c r="V93" s="5">
        <f t="shared" si="27"/>
        <v>-9.4565217391302525E-3</v>
      </c>
      <c r="W93" s="5">
        <f t="shared" si="28"/>
        <v>0</v>
      </c>
      <c r="X93" s="5">
        <f t="shared" si="29"/>
        <v>0</v>
      </c>
      <c r="Y93" s="5">
        <f t="shared" si="30"/>
        <v>-0.79999999999999716</v>
      </c>
    </row>
    <row r="94" spans="1:25" x14ac:dyDescent="0.3">
      <c r="A94" s="1">
        <v>92</v>
      </c>
      <c r="B94" s="1" t="s">
        <v>102</v>
      </c>
      <c r="C94" s="2" t="s">
        <v>12</v>
      </c>
      <c r="D94" s="2">
        <v>0.19</v>
      </c>
      <c r="E94" s="2">
        <v>1.26</v>
      </c>
      <c r="F94" s="2">
        <v>74.3</v>
      </c>
      <c r="G94" s="2">
        <v>8.52</v>
      </c>
      <c r="H94" s="2">
        <v>43.9</v>
      </c>
      <c r="I94" s="4">
        <f t="shared" si="16"/>
        <v>0.19</v>
      </c>
      <c r="J94" s="4">
        <f t="shared" si="17"/>
        <v>1.3</v>
      </c>
      <c r="K94" s="4">
        <f t="shared" si="17"/>
        <v>74.3</v>
      </c>
      <c r="L94" s="4">
        <f t="shared" si="17"/>
        <v>8.5</v>
      </c>
      <c r="M94" s="4">
        <f t="shared" si="18"/>
        <v>45</v>
      </c>
      <c r="N94" s="3">
        <f t="shared" si="19"/>
        <v>14.1</v>
      </c>
      <c r="O94" s="3">
        <f t="shared" si="20"/>
        <v>96.6</v>
      </c>
      <c r="P94" s="5">
        <f t="shared" si="21"/>
        <v>0.18977119784656796</v>
      </c>
      <c r="Q94" s="5">
        <f t="shared" si="22"/>
        <v>1.3001345895020189</v>
      </c>
      <c r="R94" s="5">
        <f t="shared" si="23"/>
        <v>74.3</v>
      </c>
      <c r="S94" s="5">
        <f t="shared" si="24"/>
        <v>8.5</v>
      </c>
      <c r="T94" s="5">
        <f t="shared" si="25"/>
        <v>45</v>
      </c>
      <c r="U94" s="5">
        <f t="shared" si="26"/>
        <v>-2.2880215343204502E-4</v>
      </c>
      <c r="V94" s="5">
        <f t="shared" si="27"/>
        <v>4.0134589502018869E-2</v>
      </c>
      <c r="W94" s="5">
        <f t="shared" si="28"/>
        <v>0</v>
      </c>
      <c r="X94" s="5">
        <f t="shared" si="29"/>
        <v>-1.9999999999999574E-2</v>
      </c>
      <c r="Y94" s="5">
        <f t="shared" si="30"/>
        <v>1.1000000000000014</v>
      </c>
    </row>
    <row r="95" spans="1:25" x14ac:dyDescent="0.3">
      <c r="A95" s="1">
        <v>93</v>
      </c>
      <c r="B95" s="1" t="s">
        <v>103</v>
      </c>
      <c r="C95" s="2" t="s">
        <v>12</v>
      </c>
      <c r="D95" s="2">
        <v>0.42</v>
      </c>
      <c r="E95" s="2">
        <v>1.39</v>
      </c>
      <c r="F95" s="2">
        <v>17.2</v>
      </c>
      <c r="G95" s="2">
        <v>18.2</v>
      </c>
      <c r="H95" s="2">
        <v>63.3</v>
      </c>
      <c r="I95" s="4">
        <f t="shared" si="16"/>
        <v>0.42</v>
      </c>
      <c r="J95" s="4">
        <f t="shared" si="17"/>
        <v>1.4</v>
      </c>
      <c r="K95" s="4">
        <f t="shared" si="17"/>
        <v>17.2</v>
      </c>
      <c r="L95" s="4">
        <f t="shared" si="17"/>
        <v>18.2</v>
      </c>
      <c r="M95" s="4">
        <f t="shared" si="18"/>
        <v>65</v>
      </c>
      <c r="N95" s="3">
        <f t="shared" si="19"/>
        <v>7.2</v>
      </c>
      <c r="O95" s="3">
        <f t="shared" si="20"/>
        <v>24.1</v>
      </c>
      <c r="P95" s="5">
        <f t="shared" si="21"/>
        <v>0.41860465116279072</v>
      </c>
      <c r="Q95" s="5">
        <f t="shared" si="22"/>
        <v>1.4011627906976745</v>
      </c>
      <c r="R95" s="5">
        <f t="shared" si="23"/>
        <v>17.2</v>
      </c>
      <c r="S95" s="5">
        <f t="shared" si="24"/>
        <v>18.2</v>
      </c>
      <c r="T95" s="5">
        <f t="shared" si="25"/>
        <v>65</v>
      </c>
      <c r="U95" s="5">
        <f t="shared" si="26"/>
        <v>-1.3953488372092648E-3</v>
      </c>
      <c r="V95" s="5">
        <f t="shared" si="27"/>
        <v>1.1162790697674563E-2</v>
      </c>
      <c r="W95" s="5">
        <f t="shared" si="28"/>
        <v>0</v>
      </c>
      <c r="X95" s="5">
        <f t="shared" si="29"/>
        <v>0</v>
      </c>
      <c r="Y95" s="5">
        <f t="shared" si="30"/>
        <v>1.7000000000000028</v>
      </c>
    </row>
    <row r="96" spans="1:25" x14ac:dyDescent="0.3">
      <c r="A96" s="1">
        <v>94</v>
      </c>
      <c r="B96" s="1" t="s">
        <v>104</v>
      </c>
      <c r="C96" s="2" t="s">
        <v>12</v>
      </c>
      <c r="D96" s="2">
        <v>0.19</v>
      </c>
      <c r="E96" s="2">
        <v>2.31</v>
      </c>
      <c r="F96" s="2">
        <v>72</v>
      </c>
      <c r="G96" s="2">
        <v>17.3</v>
      </c>
      <c r="H96" s="2">
        <v>13.5</v>
      </c>
      <c r="I96" s="4">
        <f t="shared" si="16"/>
        <v>0.19</v>
      </c>
      <c r="J96" s="4">
        <f t="shared" si="17"/>
        <v>2.2999999999999998</v>
      </c>
      <c r="K96" s="4">
        <f t="shared" si="17"/>
        <v>72</v>
      </c>
      <c r="L96" s="4">
        <f t="shared" si="17"/>
        <v>17.3</v>
      </c>
      <c r="M96" s="4">
        <f t="shared" si="18"/>
        <v>15</v>
      </c>
      <c r="N96" s="3">
        <f t="shared" si="19"/>
        <v>13.7</v>
      </c>
      <c r="O96" s="3">
        <f t="shared" si="20"/>
        <v>165.6</v>
      </c>
      <c r="P96" s="5">
        <f t="shared" si="21"/>
        <v>0.19027777777777777</v>
      </c>
      <c r="Q96" s="5">
        <f t="shared" si="22"/>
        <v>2.2999999999999998</v>
      </c>
      <c r="R96" s="5">
        <f t="shared" si="23"/>
        <v>72</v>
      </c>
      <c r="S96" s="5">
        <f t="shared" si="24"/>
        <v>17.3</v>
      </c>
      <c r="T96" s="5">
        <f t="shared" si="25"/>
        <v>15</v>
      </c>
      <c r="U96" s="5">
        <f t="shared" si="26"/>
        <v>2.7777777777776569E-4</v>
      </c>
      <c r="V96" s="5">
        <f t="shared" si="27"/>
        <v>-1.0000000000000231E-2</v>
      </c>
      <c r="W96" s="5">
        <f t="shared" si="28"/>
        <v>0</v>
      </c>
      <c r="X96" s="5">
        <f t="shared" si="29"/>
        <v>0</v>
      </c>
      <c r="Y96" s="5">
        <f t="shared" si="30"/>
        <v>1.5</v>
      </c>
    </row>
    <row r="97" spans="1:25" x14ac:dyDescent="0.3">
      <c r="A97" s="1">
        <v>95</v>
      </c>
      <c r="B97" s="1" t="s">
        <v>105</v>
      </c>
      <c r="C97" s="2" t="s">
        <v>12</v>
      </c>
      <c r="D97" s="2">
        <v>0.37</v>
      </c>
      <c r="E97" s="2">
        <v>1.42</v>
      </c>
      <c r="F97" s="2">
        <v>95.2</v>
      </c>
      <c r="G97" s="2">
        <v>20.6</v>
      </c>
      <c r="H97" s="2">
        <v>66.8</v>
      </c>
      <c r="I97" s="4">
        <f t="shared" si="16"/>
        <v>0.37</v>
      </c>
      <c r="J97" s="4">
        <f t="shared" si="17"/>
        <v>1.4</v>
      </c>
      <c r="K97" s="4">
        <f t="shared" si="17"/>
        <v>95.2</v>
      </c>
      <c r="L97" s="4">
        <f t="shared" si="17"/>
        <v>20.6</v>
      </c>
      <c r="M97" s="4">
        <f t="shared" si="18"/>
        <v>65</v>
      </c>
      <c r="N97" s="3">
        <f t="shared" si="19"/>
        <v>35.200000000000003</v>
      </c>
      <c r="O97" s="3">
        <f t="shared" si="20"/>
        <v>133.30000000000001</v>
      </c>
      <c r="P97" s="5">
        <f t="shared" si="21"/>
        <v>0.36974789915966388</v>
      </c>
      <c r="Q97" s="5">
        <f t="shared" si="22"/>
        <v>1.4002100840336136</v>
      </c>
      <c r="R97" s="5">
        <f t="shared" si="23"/>
        <v>95.2</v>
      </c>
      <c r="S97" s="5">
        <f t="shared" si="24"/>
        <v>20.6</v>
      </c>
      <c r="T97" s="5">
        <f t="shared" si="25"/>
        <v>65</v>
      </c>
      <c r="U97" s="5">
        <f t="shared" si="26"/>
        <v>-2.5210084033611135E-4</v>
      </c>
      <c r="V97" s="5">
        <f t="shared" si="27"/>
        <v>-1.9789915966386351E-2</v>
      </c>
      <c r="W97" s="5">
        <f t="shared" si="28"/>
        <v>0</v>
      </c>
      <c r="X97" s="5">
        <f t="shared" si="29"/>
        <v>0</v>
      </c>
      <c r="Y97" s="5">
        <f t="shared" si="30"/>
        <v>-1.7999999999999972</v>
      </c>
    </row>
    <row r="98" spans="1:25" x14ac:dyDescent="0.3">
      <c r="A98" s="1">
        <v>96</v>
      </c>
      <c r="B98" s="1" t="s">
        <v>106</v>
      </c>
      <c r="C98" s="2" t="s">
        <v>12</v>
      </c>
      <c r="D98" s="2">
        <v>0.45</v>
      </c>
      <c r="E98" s="2">
        <v>1.66</v>
      </c>
      <c r="F98" s="2">
        <v>23</v>
      </c>
      <c r="G98" s="2">
        <v>5.68</v>
      </c>
      <c r="H98" s="2">
        <v>15.1</v>
      </c>
      <c r="I98" s="4">
        <f t="shared" si="16"/>
        <v>0.45</v>
      </c>
      <c r="J98" s="4">
        <f t="shared" si="17"/>
        <v>1.7</v>
      </c>
      <c r="K98" s="4">
        <f t="shared" si="17"/>
        <v>23</v>
      </c>
      <c r="L98" s="4">
        <f t="shared" si="17"/>
        <v>5.7</v>
      </c>
      <c r="M98" s="4">
        <f t="shared" si="18"/>
        <v>15</v>
      </c>
      <c r="N98" s="3">
        <f t="shared" si="19"/>
        <v>10.4</v>
      </c>
      <c r="O98" s="3">
        <f t="shared" si="20"/>
        <v>39.1</v>
      </c>
      <c r="P98" s="5">
        <f t="shared" si="21"/>
        <v>0.45217391304347826</v>
      </c>
      <c r="Q98" s="5">
        <f t="shared" si="22"/>
        <v>1.7</v>
      </c>
      <c r="R98" s="5">
        <f t="shared" si="23"/>
        <v>23</v>
      </c>
      <c r="S98" s="5">
        <f t="shared" si="24"/>
        <v>5.7</v>
      </c>
      <c r="T98" s="5">
        <f t="shared" si="25"/>
        <v>15</v>
      </c>
      <c r="U98" s="5">
        <f t="shared" si="26"/>
        <v>2.1739130434782483E-3</v>
      </c>
      <c r="V98" s="5">
        <f t="shared" si="27"/>
        <v>4.0000000000000036E-2</v>
      </c>
      <c r="W98" s="5">
        <f t="shared" si="28"/>
        <v>0</v>
      </c>
      <c r="X98" s="5">
        <f t="shared" si="29"/>
        <v>2.0000000000000462E-2</v>
      </c>
      <c r="Y98" s="5">
        <f t="shared" si="30"/>
        <v>-9.9999999999999645E-2</v>
      </c>
    </row>
    <row r="99" spans="1:25" x14ac:dyDescent="0.3">
      <c r="A99" s="1">
        <v>97</v>
      </c>
      <c r="B99" s="1" t="s">
        <v>107</v>
      </c>
      <c r="C99" s="2" t="s">
        <v>10</v>
      </c>
      <c r="D99" s="2">
        <v>0.5</v>
      </c>
      <c r="E99" s="2">
        <v>1</v>
      </c>
      <c r="F99" s="2">
        <v>100</v>
      </c>
      <c r="G99" s="2">
        <v>5</v>
      </c>
      <c r="H99" s="2">
        <v>90</v>
      </c>
      <c r="I99" s="4">
        <f t="shared" si="16"/>
        <v>0.5</v>
      </c>
      <c r="J99" s="4">
        <f t="shared" ref="J99:L130" si="31">ROUND(E99,1)</f>
        <v>1</v>
      </c>
      <c r="K99" s="4">
        <f t="shared" si="31"/>
        <v>100</v>
      </c>
      <c r="L99" s="4">
        <f t="shared" si="31"/>
        <v>5</v>
      </c>
      <c r="M99" s="4">
        <f t="shared" si="18"/>
        <v>90</v>
      </c>
      <c r="N99" s="3">
        <f t="shared" si="19"/>
        <v>50</v>
      </c>
      <c r="O99" s="3">
        <f t="shared" si="20"/>
        <v>100</v>
      </c>
      <c r="P99" s="5">
        <f t="shared" si="21"/>
        <v>0.5</v>
      </c>
      <c r="Q99" s="5">
        <f t="shared" si="22"/>
        <v>1</v>
      </c>
      <c r="R99" s="5">
        <f t="shared" si="23"/>
        <v>100</v>
      </c>
      <c r="S99" s="5">
        <f t="shared" si="24"/>
        <v>5</v>
      </c>
      <c r="T99" s="5">
        <f t="shared" si="25"/>
        <v>90</v>
      </c>
      <c r="U99" s="5">
        <f t="shared" si="26"/>
        <v>0</v>
      </c>
      <c r="V99" s="5">
        <f t="shared" si="27"/>
        <v>0</v>
      </c>
      <c r="W99" s="5">
        <f t="shared" si="28"/>
        <v>0</v>
      </c>
      <c r="X99" s="5">
        <f t="shared" si="29"/>
        <v>0</v>
      </c>
      <c r="Y99" s="5">
        <f t="shared" si="30"/>
        <v>0</v>
      </c>
    </row>
    <row r="100" spans="1:25" x14ac:dyDescent="0.3">
      <c r="A100" s="1">
        <v>98</v>
      </c>
      <c r="B100" s="1" t="s">
        <v>108</v>
      </c>
      <c r="C100" s="2" t="s">
        <v>12</v>
      </c>
      <c r="D100" s="2">
        <v>0.46</v>
      </c>
      <c r="E100" s="2">
        <v>1.52</v>
      </c>
      <c r="F100" s="2">
        <v>49.6</v>
      </c>
      <c r="G100" s="2">
        <v>24.2</v>
      </c>
      <c r="H100" s="2">
        <v>51.5</v>
      </c>
      <c r="I100" s="4">
        <f t="shared" si="16"/>
        <v>0.46</v>
      </c>
      <c r="J100" s="4">
        <f t="shared" si="31"/>
        <v>1.5</v>
      </c>
      <c r="K100" s="4">
        <f t="shared" si="31"/>
        <v>49.6</v>
      </c>
      <c r="L100" s="4">
        <f t="shared" si="31"/>
        <v>24.2</v>
      </c>
      <c r="M100" s="4">
        <f t="shared" si="18"/>
        <v>50</v>
      </c>
      <c r="N100" s="3">
        <f t="shared" si="19"/>
        <v>22.8</v>
      </c>
      <c r="O100" s="3">
        <f t="shared" si="20"/>
        <v>74.400000000000006</v>
      </c>
      <c r="P100" s="5">
        <f t="shared" si="21"/>
        <v>0.45967741935483869</v>
      </c>
      <c r="Q100" s="5">
        <f t="shared" si="22"/>
        <v>1.5</v>
      </c>
      <c r="R100" s="5">
        <f t="shared" si="23"/>
        <v>49.6</v>
      </c>
      <c r="S100" s="5">
        <f t="shared" si="24"/>
        <v>24.2</v>
      </c>
      <c r="T100" s="5">
        <f t="shared" si="25"/>
        <v>50</v>
      </c>
      <c r="U100" s="5">
        <f t="shared" si="26"/>
        <v>-3.2258064516133E-4</v>
      </c>
      <c r="V100" s="5">
        <f t="shared" si="27"/>
        <v>-2.0000000000000018E-2</v>
      </c>
      <c r="W100" s="5">
        <f t="shared" si="28"/>
        <v>0</v>
      </c>
      <c r="X100" s="5">
        <f t="shared" si="29"/>
        <v>0</v>
      </c>
      <c r="Y100" s="5">
        <f t="shared" si="30"/>
        <v>-1.5</v>
      </c>
    </row>
    <row r="101" spans="1:25" x14ac:dyDescent="0.3">
      <c r="A101" s="1">
        <v>99</v>
      </c>
      <c r="B101" s="1" t="s">
        <v>109</v>
      </c>
      <c r="C101" s="2" t="s">
        <v>12</v>
      </c>
      <c r="D101" s="2">
        <v>0.26</v>
      </c>
      <c r="E101" s="2">
        <v>2.91</v>
      </c>
      <c r="F101" s="2">
        <v>52.1</v>
      </c>
      <c r="G101" s="2">
        <v>23</v>
      </c>
      <c r="H101" s="2">
        <v>83.2</v>
      </c>
      <c r="I101" s="4">
        <f t="shared" si="16"/>
        <v>0.26</v>
      </c>
      <c r="J101" s="4">
        <f t="shared" si="31"/>
        <v>2.9</v>
      </c>
      <c r="K101" s="4">
        <f t="shared" si="31"/>
        <v>52.1</v>
      </c>
      <c r="L101" s="4">
        <f t="shared" si="31"/>
        <v>23</v>
      </c>
      <c r="M101" s="4">
        <f t="shared" si="18"/>
        <v>85</v>
      </c>
      <c r="N101" s="3">
        <f t="shared" si="19"/>
        <v>13.5</v>
      </c>
      <c r="O101" s="3">
        <f t="shared" si="20"/>
        <v>151.1</v>
      </c>
      <c r="P101" s="5">
        <f t="shared" si="21"/>
        <v>0.25911708253358923</v>
      </c>
      <c r="Q101" s="5">
        <f t="shared" si="22"/>
        <v>2.9001919385796544</v>
      </c>
      <c r="R101" s="5">
        <f t="shared" si="23"/>
        <v>52.1</v>
      </c>
      <c r="S101" s="5">
        <f t="shared" si="24"/>
        <v>23</v>
      </c>
      <c r="T101" s="5">
        <f t="shared" si="25"/>
        <v>85</v>
      </c>
      <c r="U101" s="5">
        <f t="shared" si="26"/>
        <v>-8.8291746641078195E-4</v>
      </c>
      <c r="V101" s="5">
        <f t="shared" si="27"/>
        <v>-9.8080614203457372E-3</v>
      </c>
      <c r="W101" s="5">
        <f t="shared" si="28"/>
        <v>0</v>
      </c>
      <c r="X101" s="5">
        <f t="shared" si="29"/>
        <v>0</v>
      </c>
      <c r="Y101" s="5">
        <f t="shared" si="30"/>
        <v>1.7999999999999972</v>
      </c>
    </row>
    <row r="102" spans="1:25" x14ac:dyDescent="0.3">
      <c r="A102" s="1">
        <v>100</v>
      </c>
      <c r="B102" s="1" t="s">
        <v>110</v>
      </c>
      <c r="C102" s="2" t="s">
        <v>12</v>
      </c>
      <c r="D102" s="2">
        <v>0.28000000000000003</v>
      </c>
      <c r="E102" s="2">
        <v>2.15</v>
      </c>
      <c r="F102" s="2">
        <v>27.6</v>
      </c>
      <c r="G102" s="2">
        <v>24.4</v>
      </c>
      <c r="H102" s="2">
        <v>48.5</v>
      </c>
      <c r="I102" s="4">
        <f t="shared" si="16"/>
        <v>0.28000000000000003</v>
      </c>
      <c r="J102" s="4">
        <f t="shared" si="31"/>
        <v>2.2000000000000002</v>
      </c>
      <c r="K102" s="4">
        <f t="shared" si="31"/>
        <v>27.6</v>
      </c>
      <c r="L102" s="4">
        <f t="shared" si="31"/>
        <v>24.4</v>
      </c>
      <c r="M102" s="4">
        <f t="shared" si="18"/>
        <v>50</v>
      </c>
      <c r="N102" s="3">
        <f t="shared" si="19"/>
        <v>7.7</v>
      </c>
      <c r="O102" s="3">
        <f t="shared" si="20"/>
        <v>60.7</v>
      </c>
      <c r="P102" s="5">
        <f t="shared" si="21"/>
        <v>0.27898550724637683</v>
      </c>
      <c r="Q102" s="5">
        <f t="shared" si="22"/>
        <v>2.1992753623188404</v>
      </c>
      <c r="R102" s="5">
        <f t="shared" si="23"/>
        <v>27.6</v>
      </c>
      <c r="S102" s="5">
        <f t="shared" si="24"/>
        <v>24.4</v>
      </c>
      <c r="T102" s="5">
        <f t="shared" si="25"/>
        <v>50</v>
      </c>
      <c r="U102" s="5">
        <f t="shared" si="26"/>
        <v>-1.0144927536231974E-3</v>
      </c>
      <c r="V102" s="5">
        <f t="shared" si="27"/>
        <v>4.9275362318840443E-2</v>
      </c>
      <c r="W102" s="5">
        <f t="shared" si="28"/>
        <v>0</v>
      </c>
      <c r="X102" s="5">
        <f t="shared" si="29"/>
        <v>0</v>
      </c>
      <c r="Y102" s="5">
        <f t="shared" si="30"/>
        <v>1.5</v>
      </c>
    </row>
    <row r="103" spans="1:25" x14ac:dyDescent="0.3">
      <c r="A103" s="1">
        <v>101</v>
      </c>
      <c r="B103" s="1" t="s">
        <v>111</v>
      </c>
      <c r="C103" s="2" t="s">
        <v>12</v>
      </c>
      <c r="D103" s="2">
        <v>0.37</v>
      </c>
      <c r="E103" s="2">
        <v>2.0099999999999998</v>
      </c>
      <c r="F103" s="2">
        <v>67.3</v>
      </c>
      <c r="G103" s="2">
        <v>16.899999999999999</v>
      </c>
      <c r="H103" s="2">
        <v>0.75</v>
      </c>
      <c r="I103" s="4">
        <f t="shared" si="16"/>
        <v>0.37</v>
      </c>
      <c r="J103" s="4">
        <f t="shared" si="31"/>
        <v>2</v>
      </c>
      <c r="K103" s="4">
        <f t="shared" si="31"/>
        <v>67.3</v>
      </c>
      <c r="L103" s="4">
        <f t="shared" si="31"/>
        <v>16.899999999999999</v>
      </c>
      <c r="M103" s="4">
        <f t="shared" si="18"/>
        <v>0</v>
      </c>
      <c r="N103" s="3">
        <f t="shared" si="19"/>
        <v>24.9</v>
      </c>
      <c r="O103" s="3">
        <f t="shared" si="20"/>
        <v>134.6</v>
      </c>
      <c r="P103" s="5">
        <f t="shared" si="21"/>
        <v>0.36998514115898962</v>
      </c>
      <c r="Q103" s="5">
        <f t="shared" si="22"/>
        <v>2</v>
      </c>
      <c r="R103" s="5">
        <f t="shared" si="23"/>
        <v>67.3</v>
      </c>
      <c r="S103" s="5">
        <f t="shared" si="24"/>
        <v>16.899999999999999</v>
      </c>
      <c r="T103" s="5">
        <f t="shared" si="25"/>
        <v>0</v>
      </c>
      <c r="U103" s="5">
        <f t="shared" si="26"/>
        <v>-1.4858841010378931E-5</v>
      </c>
      <c r="V103" s="5">
        <f t="shared" si="27"/>
        <v>-9.9999999999997868E-3</v>
      </c>
      <c r="W103" s="5">
        <f t="shared" si="28"/>
        <v>0</v>
      </c>
      <c r="X103" s="5">
        <f t="shared" si="29"/>
        <v>0</v>
      </c>
      <c r="Y103" s="5">
        <f t="shared" si="30"/>
        <v>-0.75</v>
      </c>
    </row>
    <row r="104" spans="1:25" x14ac:dyDescent="0.3">
      <c r="A104" s="1">
        <v>102</v>
      </c>
      <c r="B104" s="1" t="s">
        <v>112</v>
      </c>
      <c r="C104" s="2" t="s">
        <v>12</v>
      </c>
      <c r="D104" s="2">
        <v>0.44</v>
      </c>
      <c r="E104" s="2">
        <v>1.47</v>
      </c>
      <c r="F104" s="2">
        <v>48.6</v>
      </c>
      <c r="G104" s="2">
        <v>22.1</v>
      </c>
      <c r="H104" s="2">
        <v>83.8</v>
      </c>
      <c r="I104" s="4">
        <f t="shared" si="16"/>
        <v>0.44</v>
      </c>
      <c r="J104" s="4">
        <f t="shared" si="31"/>
        <v>1.5</v>
      </c>
      <c r="K104" s="4">
        <f t="shared" si="31"/>
        <v>48.6</v>
      </c>
      <c r="L104" s="4">
        <f t="shared" si="31"/>
        <v>22.1</v>
      </c>
      <c r="M104" s="4">
        <f t="shared" si="18"/>
        <v>85</v>
      </c>
      <c r="N104" s="3">
        <f t="shared" si="19"/>
        <v>21.4</v>
      </c>
      <c r="O104" s="3">
        <f t="shared" si="20"/>
        <v>72.900000000000006</v>
      </c>
      <c r="P104" s="5">
        <f t="shared" si="21"/>
        <v>0.44032921810699582</v>
      </c>
      <c r="Q104" s="5">
        <f t="shared" si="22"/>
        <v>1.5</v>
      </c>
      <c r="R104" s="5">
        <f t="shared" si="23"/>
        <v>48.6</v>
      </c>
      <c r="S104" s="5">
        <f t="shared" si="24"/>
        <v>22.1</v>
      </c>
      <c r="T104" s="5">
        <f t="shared" si="25"/>
        <v>85</v>
      </c>
      <c r="U104" s="5">
        <f t="shared" si="26"/>
        <v>3.292181069958211E-4</v>
      </c>
      <c r="V104" s="5">
        <f t="shared" si="27"/>
        <v>3.0000000000000027E-2</v>
      </c>
      <c r="W104" s="5">
        <f t="shared" si="28"/>
        <v>0</v>
      </c>
      <c r="X104" s="5">
        <f t="shared" si="29"/>
        <v>0</v>
      </c>
      <c r="Y104" s="5">
        <f t="shared" si="30"/>
        <v>1.2000000000000028</v>
      </c>
    </row>
    <row r="105" spans="1:25" x14ac:dyDescent="0.3">
      <c r="A105" s="1">
        <v>103</v>
      </c>
      <c r="B105" s="1" t="s">
        <v>113</v>
      </c>
      <c r="C105" s="2" t="s">
        <v>12</v>
      </c>
      <c r="D105" s="2">
        <v>0.46</v>
      </c>
      <c r="E105" s="2">
        <v>2.78</v>
      </c>
      <c r="F105" s="2">
        <v>26.8</v>
      </c>
      <c r="G105" s="2">
        <v>21.5</v>
      </c>
      <c r="H105" s="2">
        <v>89.9</v>
      </c>
      <c r="I105" s="4">
        <f t="shared" si="16"/>
        <v>0.46</v>
      </c>
      <c r="J105" s="4">
        <f t="shared" si="31"/>
        <v>2.8</v>
      </c>
      <c r="K105" s="4">
        <f t="shared" si="31"/>
        <v>26.8</v>
      </c>
      <c r="L105" s="4">
        <f t="shared" si="31"/>
        <v>21.5</v>
      </c>
      <c r="M105" s="4">
        <f t="shared" si="18"/>
        <v>90</v>
      </c>
      <c r="N105" s="3">
        <f t="shared" si="19"/>
        <v>12.3</v>
      </c>
      <c r="O105" s="3">
        <f t="shared" si="20"/>
        <v>75</v>
      </c>
      <c r="P105" s="5">
        <f t="shared" si="21"/>
        <v>0.45895522388059701</v>
      </c>
      <c r="Q105" s="5">
        <f t="shared" si="22"/>
        <v>2.7985074626865671</v>
      </c>
      <c r="R105" s="5">
        <f t="shared" si="23"/>
        <v>26.8</v>
      </c>
      <c r="S105" s="5">
        <f t="shared" si="24"/>
        <v>21.5</v>
      </c>
      <c r="T105" s="5">
        <f t="shared" si="25"/>
        <v>90</v>
      </c>
      <c r="U105" s="5">
        <f t="shared" si="26"/>
        <v>-1.0447761194030125E-3</v>
      </c>
      <c r="V105" s="5">
        <f t="shared" si="27"/>
        <v>1.8507462686567333E-2</v>
      </c>
      <c r="W105" s="5">
        <f t="shared" si="28"/>
        <v>0</v>
      </c>
      <c r="X105" s="5">
        <f t="shared" si="29"/>
        <v>0</v>
      </c>
      <c r="Y105" s="5">
        <f t="shared" si="30"/>
        <v>9.9999999999994316E-2</v>
      </c>
    </row>
    <row r="106" spans="1:25" x14ac:dyDescent="0.3">
      <c r="A106" s="1">
        <v>104</v>
      </c>
      <c r="B106" s="1" t="s">
        <v>114</v>
      </c>
      <c r="C106" s="2" t="s">
        <v>12</v>
      </c>
      <c r="D106" s="2">
        <v>0.45</v>
      </c>
      <c r="E106" s="2">
        <v>1.86</v>
      </c>
      <c r="F106" s="2">
        <v>44.7</v>
      </c>
      <c r="G106" s="2">
        <v>8.77</v>
      </c>
      <c r="H106" s="2">
        <v>14.3</v>
      </c>
      <c r="I106" s="4">
        <f t="shared" si="16"/>
        <v>0.45</v>
      </c>
      <c r="J106" s="4">
        <f t="shared" si="31"/>
        <v>1.9</v>
      </c>
      <c r="K106" s="4">
        <f t="shared" si="31"/>
        <v>44.7</v>
      </c>
      <c r="L106" s="4">
        <f t="shared" si="31"/>
        <v>8.8000000000000007</v>
      </c>
      <c r="M106" s="4">
        <f t="shared" si="18"/>
        <v>15</v>
      </c>
      <c r="N106" s="3">
        <f t="shared" si="19"/>
        <v>20.100000000000001</v>
      </c>
      <c r="O106" s="3">
        <f t="shared" si="20"/>
        <v>84.9</v>
      </c>
      <c r="P106" s="5">
        <f t="shared" si="21"/>
        <v>0.44966442953020136</v>
      </c>
      <c r="Q106" s="5">
        <f t="shared" si="22"/>
        <v>1.8993288590604027</v>
      </c>
      <c r="R106" s="5">
        <f t="shared" si="23"/>
        <v>44.7</v>
      </c>
      <c r="S106" s="5">
        <f t="shared" si="24"/>
        <v>8.8000000000000007</v>
      </c>
      <c r="T106" s="5">
        <f t="shared" si="25"/>
        <v>15</v>
      </c>
      <c r="U106" s="5">
        <f t="shared" si="26"/>
        <v>-3.3557046979865168E-4</v>
      </c>
      <c r="V106" s="5">
        <f t="shared" si="27"/>
        <v>3.9328859060402621E-2</v>
      </c>
      <c r="W106" s="5">
        <f t="shared" si="28"/>
        <v>0</v>
      </c>
      <c r="X106" s="5">
        <f t="shared" si="29"/>
        <v>3.0000000000001137E-2</v>
      </c>
      <c r="Y106" s="5">
        <f t="shared" si="30"/>
        <v>0.69999999999999929</v>
      </c>
    </row>
    <row r="107" spans="1:25" x14ac:dyDescent="0.3">
      <c r="A107" s="1">
        <v>105</v>
      </c>
      <c r="B107" s="1" t="s">
        <v>115</v>
      </c>
      <c r="C107" s="2" t="s">
        <v>12</v>
      </c>
      <c r="D107" s="2">
        <v>0.28999999999999998</v>
      </c>
      <c r="E107" s="2">
        <v>2.1800000000000002</v>
      </c>
      <c r="F107" s="2">
        <v>18.399999999999999</v>
      </c>
      <c r="G107" s="2">
        <v>11.6</v>
      </c>
      <c r="H107" s="2">
        <v>40.6</v>
      </c>
      <c r="I107" s="4">
        <f t="shared" si="16"/>
        <v>0.28999999999999998</v>
      </c>
      <c r="J107" s="4">
        <f t="shared" si="31"/>
        <v>2.2000000000000002</v>
      </c>
      <c r="K107" s="4">
        <f t="shared" si="31"/>
        <v>18.399999999999999</v>
      </c>
      <c r="L107" s="4">
        <f t="shared" si="31"/>
        <v>11.6</v>
      </c>
      <c r="M107" s="4">
        <f t="shared" si="18"/>
        <v>40</v>
      </c>
      <c r="N107" s="3">
        <f t="shared" si="19"/>
        <v>5.3</v>
      </c>
      <c r="O107" s="3">
        <f t="shared" si="20"/>
        <v>40.5</v>
      </c>
      <c r="P107" s="5">
        <f t="shared" si="21"/>
        <v>0.28804347826086957</v>
      </c>
      <c r="Q107" s="5">
        <f t="shared" si="22"/>
        <v>2.2010869565217392</v>
      </c>
      <c r="R107" s="5">
        <f t="shared" si="23"/>
        <v>18.399999999999999</v>
      </c>
      <c r="S107" s="5">
        <f t="shared" si="24"/>
        <v>11.6</v>
      </c>
      <c r="T107" s="5">
        <f t="shared" si="25"/>
        <v>40</v>
      </c>
      <c r="U107" s="5">
        <f t="shared" si="26"/>
        <v>-1.9565217391304124E-3</v>
      </c>
      <c r="V107" s="5">
        <f t="shared" si="27"/>
        <v>2.1086956521739086E-2</v>
      </c>
      <c r="W107" s="5">
        <f t="shared" si="28"/>
        <v>0</v>
      </c>
      <c r="X107" s="5">
        <f t="shared" si="29"/>
        <v>0</v>
      </c>
      <c r="Y107" s="5">
        <f t="shared" si="30"/>
        <v>-0.60000000000000142</v>
      </c>
    </row>
    <row r="108" spans="1:25" x14ac:dyDescent="0.3">
      <c r="A108" s="1">
        <v>106</v>
      </c>
      <c r="B108" s="1" t="s">
        <v>116</v>
      </c>
      <c r="C108" s="2" t="s">
        <v>12</v>
      </c>
      <c r="D108" s="2">
        <v>0.21</v>
      </c>
      <c r="E108" s="2">
        <v>2.25</v>
      </c>
      <c r="F108" s="2">
        <v>79.3</v>
      </c>
      <c r="G108" s="2">
        <v>21.1</v>
      </c>
      <c r="H108" s="2">
        <v>47.8</v>
      </c>
      <c r="I108" s="4">
        <f t="shared" si="16"/>
        <v>0.21</v>
      </c>
      <c r="J108" s="4">
        <f t="shared" si="31"/>
        <v>2.2999999999999998</v>
      </c>
      <c r="K108" s="4">
        <f t="shared" si="31"/>
        <v>79.3</v>
      </c>
      <c r="L108" s="4">
        <f t="shared" si="31"/>
        <v>21.1</v>
      </c>
      <c r="M108" s="4">
        <f t="shared" si="18"/>
        <v>50</v>
      </c>
      <c r="N108" s="3">
        <f t="shared" si="19"/>
        <v>16.7</v>
      </c>
      <c r="O108" s="3">
        <f t="shared" si="20"/>
        <v>182.4</v>
      </c>
      <c r="P108" s="5">
        <f t="shared" si="21"/>
        <v>0.21059268600252207</v>
      </c>
      <c r="Q108" s="5">
        <f t="shared" si="22"/>
        <v>2.300126103404792</v>
      </c>
      <c r="R108" s="5">
        <f t="shared" si="23"/>
        <v>79.3</v>
      </c>
      <c r="S108" s="5">
        <f t="shared" si="24"/>
        <v>21.1</v>
      </c>
      <c r="T108" s="5">
        <f t="shared" si="25"/>
        <v>50</v>
      </c>
      <c r="U108" s="5">
        <f t="shared" si="26"/>
        <v>5.9268600252207482E-4</v>
      </c>
      <c r="V108" s="5">
        <f t="shared" si="27"/>
        <v>5.0126103404791955E-2</v>
      </c>
      <c r="W108" s="5">
        <f t="shared" si="28"/>
        <v>0</v>
      </c>
      <c r="X108" s="5">
        <f t="shared" si="29"/>
        <v>0</v>
      </c>
      <c r="Y108" s="5">
        <f t="shared" si="30"/>
        <v>2.2000000000000028</v>
      </c>
    </row>
    <row r="109" spans="1:25" x14ac:dyDescent="0.3">
      <c r="A109" s="1">
        <v>107</v>
      </c>
      <c r="B109" s="1" t="s">
        <v>117</v>
      </c>
      <c r="C109" s="2" t="s">
        <v>12</v>
      </c>
      <c r="D109" s="2">
        <v>0.12</v>
      </c>
      <c r="E109" s="2">
        <v>2.72</v>
      </c>
      <c r="F109" s="2">
        <v>14</v>
      </c>
      <c r="G109" s="2">
        <v>21.9</v>
      </c>
      <c r="H109" s="2">
        <v>80.900000000000006</v>
      </c>
      <c r="I109" s="4">
        <f t="shared" si="16"/>
        <v>0.12</v>
      </c>
      <c r="J109" s="4">
        <f t="shared" si="31"/>
        <v>2.7</v>
      </c>
      <c r="K109" s="4">
        <f t="shared" si="31"/>
        <v>14</v>
      </c>
      <c r="L109" s="4">
        <f t="shared" si="31"/>
        <v>21.9</v>
      </c>
      <c r="M109" s="4">
        <f t="shared" si="18"/>
        <v>80</v>
      </c>
      <c r="N109" s="3">
        <f t="shared" si="19"/>
        <v>1.7</v>
      </c>
      <c r="O109" s="3">
        <f t="shared" si="20"/>
        <v>37.799999999999997</v>
      </c>
      <c r="P109" s="5">
        <f t="shared" si="21"/>
        <v>0.12142857142857143</v>
      </c>
      <c r="Q109" s="5">
        <f t="shared" si="22"/>
        <v>2.6999999999999997</v>
      </c>
      <c r="R109" s="5">
        <f t="shared" si="23"/>
        <v>14</v>
      </c>
      <c r="S109" s="5">
        <f t="shared" si="24"/>
        <v>21.9</v>
      </c>
      <c r="T109" s="5">
        <f t="shared" si="25"/>
        <v>80</v>
      </c>
      <c r="U109" s="5">
        <f t="shared" si="26"/>
        <v>1.4285714285714318E-3</v>
      </c>
      <c r="V109" s="5">
        <f t="shared" si="27"/>
        <v>-2.0000000000000462E-2</v>
      </c>
      <c r="W109" s="5">
        <f t="shared" si="28"/>
        <v>0</v>
      </c>
      <c r="X109" s="5">
        <f t="shared" si="29"/>
        <v>0</v>
      </c>
      <c r="Y109" s="5">
        <f t="shared" si="30"/>
        <v>-0.90000000000000568</v>
      </c>
    </row>
    <row r="110" spans="1:25" x14ac:dyDescent="0.3">
      <c r="A110" s="1">
        <v>108</v>
      </c>
      <c r="B110" s="1" t="s">
        <v>118</v>
      </c>
      <c r="C110" s="2" t="s">
        <v>12</v>
      </c>
      <c r="D110" s="2">
        <v>0.15</v>
      </c>
      <c r="E110" s="2">
        <v>2.52</v>
      </c>
      <c r="F110" s="2">
        <v>82.7</v>
      </c>
      <c r="G110" s="2">
        <v>14.3</v>
      </c>
      <c r="H110" s="2">
        <v>31.1</v>
      </c>
      <c r="I110" s="4">
        <f t="shared" si="16"/>
        <v>0.15</v>
      </c>
      <c r="J110" s="4">
        <f t="shared" si="31"/>
        <v>2.5</v>
      </c>
      <c r="K110" s="4">
        <f t="shared" si="31"/>
        <v>82.7</v>
      </c>
      <c r="L110" s="4">
        <f t="shared" si="31"/>
        <v>14.3</v>
      </c>
      <c r="M110" s="4">
        <f t="shared" si="18"/>
        <v>30</v>
      </c>
      <c r="N110" s="3">
        <f t="shared" si="19"/>
        <v>12.4</v>
      </c>
      <c r="O110" s="3">
        <f t="shared" si="20"/>
        <v>206.8</v>
      </c>
      <c r="P110" s="5">
        <f t="shared" si="21"/>
        <v>0.14993954050785974</v>
      </c>
      <c r="Q110" s="5">
        <f t="shared" si="22"/>
        <v>2.5006045949214029</v>
      </c>
      <c r="R110" s="5">
        <f t="shared" si="23"/>
        <v>82.7</v>
      </c>
      <c r="S110" s="5">
        <f t="shared" si="24"/>
        <v>14.3</v>
      </c>
      <c r="T110" s="5">
        <f t="shared" si="25"/>
        <v>30</v>
      </c>
      <c r="U110" s="5">
        <f t="shared" si="26"/>
        <v>-6.045949214025792E-5</v>
      </c>
      <c r="V110" s="5">
        <f t="shared" si="27"/>
        <v>-1.9395405078597161E-2</v>
      </c>
      <c r="W110" s="5">
        <f t="shared" si="28"/>
        <v>0</v>
      </c>
      <c r="X110" s="5">
        <f t="shared" si="29"/>
        <v>0</v>
      </c>
      <c r="Y110" s="5">
        <f t="shared" si="30"/>
        <v>-1.1000000000000014</v>
      </c>
    </row>
    <row r="111" spans="1:25" x14ac:dyDescent="0.3">
      <c r="A111" s="1">
        <v>109</v>
      </c>
      <c r="B111" s="1" t="s">
        <v>119</v>
      </c>
      <c r="C111" s="2" t="s">
        <v>12</v>
      </c>
      <c r="D111" s="2">
        <v>0.16</v>
      </c>
      <c r="E111" s="2">
        <v>1.97</v>
      </c>
      <c r="F111" s="2">
        <v>41</v>
      </c>
      <c r="G111" s="2">
        <v>9.65</v>
      </c>
      <c r="H111" s="2">
        <v>18.600000000000001</v>
      </c>
      <c r="I111" s="4">
        <f t="shared" si="16"/>
        <v>0.16</v>
      </c>
      <c r="J111" s="4">
        <f t="shared" si="31"/>
        <v>2</v>
      </c>
      <c r="K111" s="4">
        <f t="shared" si="31"/>
        <v>41</v>
      </c>
      <c r="L111" s="4">
        <f t="shared" si="31"/>
        <v>9.6999999999999993</v>
      </c>
      <c r="M111" s="4">
        <f t="shared" si="18"/>
        <v>20</v>
      </c>
      <c r="N111" s="3">
        <f t="shared" si="19"/>
        <v>6.6</v>
      </c>
      <c r="O111" s="3">
        <f t="shared" si="20"/>
        <v>82</v>
      </c>
      <c r="P111" s="5">
        <f t="shared" si="21"/>
        <v>0.16097560975609757</v>
      </c>
      <c r="Q111" s="5">
        <f t="shared" si="22"/>
        <v>2</v>
      </c>
      <c r="R111" s="5">
        <f t="shared" si="23"/>
        <v>41</v>
      </c>
      <c r="S111" s="5">
        <f t="shared" si="24"/>
        <v>9.6999999999999993</v>
      </c>
      <c r="T111" s="5">
        <f t="shared" si="25"/>
        <v>20</v>
      </c>
      <c r="U111" s="5">
        <f t="shared" si="26"/>
        <v>9.7560975609756184E-4</v>
      </c>
      <c r="V111" s="5">
        <f t="shared" si="27"/>
        <v>3.0000000000000027E-2</v>
      </c>
      <c r="W111" s="5">
        <f t="shared" si="28"/>
        <v>0</v>
      </c>
      <c r="X111" s="5">
        <f t="shared" si="29"/>
        <v>4.9999999999998934E-2</v>
      </c>
      <c r="Y111" s="5">
        <f t="shared" si="30"/>
        <v>1.3999999999999986</v>
      </c>
    </row>
    <row r="112" spans="1:25" x14ac:dyDescent="0.3">
      <c r="A112" s="1">
        <v>110</v>
      </c>
      <c r="B112" s="1" t="s">
        <v>120</v>
      </c>
      <c r="C112" s="2" t="s">
        <v>10</v>
      </c>
      <c r="D112" s="2">
        <v>0.5</v>
      </c>
      <c r="E112" s="2">
        <v>1</v>
      </c>
      <c r="F112" s="2">
        <v>10</v>
      </c>
      <c r="G112" s="2">
        <v>5</v>
      </c>
      <c r="H112" s="2">
        <v>0</v>
      </c>
      <c r="I112" s="4">
        <f t="shared" si="16"/>
        <v>0.5</v>
      </c>
      <c r="J112" s="4">
        <f t="shared" si="31"/>
        <v>1</v>
      </c>
      <c r="K112" s="4">
        <f t="shared" si="31"/>
        <v>10</v>
      </c>
      <c r="L112" s="4">
        <f t="shared" si="31"/>
        <v>5</v>
      </c>
      <c r="M112" s="4">
        <f t="shared" si="18"/>
        <v>0</v>
      </c>
      <c r="N112" s="3">
        <f t="shared" si="19"/>
        <v>5</v>
      </c>
      <c r="O112" s="3">
        <f t="shared" si="20"/>
        <v>10</v>
      </c>
      <c r="P112" s="5">
        <f t="shared" si="21"/>
        <v>0.5</v>
      </c>
      <c r="Q112" s="5">
        <f t="shared" si="22"/>
        <v>1</v>
      </c>
      <c r="R112" s="5">
        <f t="shared" si="23"/>
        <v>10</v>
      </c>
      <c r="S112" s="5">
        <f t="shared" si="24"/>
        <v>5</v>
      </c>
      <c r="T112" s="5">
        <f t="shared" si="25"/>
        <v>0</v>
      </c>
      <c r="U112" s="5">
        <f t="shared" si="26"/>
        <v>0</v>
      </c>
      <c r="V112" s="5">
        <f t="shared" si="27"/>
        <v>0</v>
      </c>
      <c r="W112" s="5">
        <f t="shared" si="28"/>
        <v>0</v>
      </c>
      <c r="X112" s="5">
        <f t="shared" si="29"/>
        <v>0</v>
      </c>
      <c r="Y112" s="5">
        <f t="shared" si="30"/>
        <v>0</v>
      </c>
    </row>
    <row r="113" spans="1:25" x14ac:dyDescent="0.3">
      <c r="A113" s="1">
        <v>111</v>
      </c>
      <c r="B113" s="1" t="s">
        <v>121</v>
      </c>
      <c r="C113" s="2" t="s">
        <v>10</v>
      </c>
      <c r="D113" s="2">
        <v>0.5</v>
      </c>
      <c r="E113" s="2">
        <v>1</v>
      </c>
      <c r="F113" s="2">
        <v>10</v>
      </c>
      <c r="G113" s="2">
        <v>5</v>
      </c>
      <c r="H113" s="2">
        <v>90</v>
      </c>
      <c r="I113" s="4">
        <f t="shared" si="16"/>
        <v>0.5</v>
      </c>
      <c r="J113" s="4">
        <f t="shared" si="31"/>
        <v>1</v>
      </c>
      <c r="K113" s="4">
        <f t="shared" si="31"/>
        <v>10</v>
      </c>
      <c r="L113" s="4">
        <f t="shared" si="31"/>
        <v>5</v>
      </c>
      <c r="M113" s="4">
        <f t="shared" si="18"/>
        <v>90</v>
      </c>
      <c r="N113" s="3">
        <f t="shared" si="19"/>
        <v>5</v>
      </c>
      <c r="O113" s="3">
        <f t="shared" si="20"/>
        <v>10</v>
      </c>
      <c r="P113" s="5">
        <f t="shared" si="21"/>
        <v>0.5</v>
      </c>
      <c r="Q113" s="5">
        <f t="shared" si="22"/>
        <v>1</v>
      </c>
      <c r="R113" s="5">
        <f t="shared" si="23"/>
        <v>10</v>
      </c>
      <c r="S113" s="5">
        <f t="shared" si="24"/>
        <v>5</v>
      </c>
      <c r="T113" s="5">
        <f t="shared" si="25"/>
        <v>90</v>
      </c>
      <c r="U113" s="5">
        <f t="shared" si="26"/>
        <v>0</v>
      </c>
      <c r="V113" s="5">
        <f t="shared" si="27"/>
        <v>0</v>
      </c>
      <c r="W113" s="5">
        <f t="shared" si="28"/>
        <v>0</v>
      </c>
      <c r="X113" s="5">
        <f t="shared" si="29"/>
        <v>0</v>
      </c>
      <c r="Y113" s="5">
        <f t="shared" si="30"/>
        <v>0</v>
      </c>
    </row>
    <row r="114" spans="1:25" x14ac:dyDescent="0.3">
      <c r="A114" s="1">
        <v>112</v>
      </c>
      <c r="B114" s="1" t="s">
        <v>122</v>
      </c>
      <c r="C114" s="2" t="s">
        <v>12</v>
      </c>
      <c r="D114" s="2">
        <v>0.35</v>
      </c>
      <c r="E114" s="2">
        <v>1.34</v>
      </c>
      <c r="F114" s="2">
        <v>61.3</v>
      </c>
      <c r="G114" s="2">
        <v>8.36</v>
      </c>
      <c r="H114" s="2">
        <v>21.2</v>
      </c>
      <c r="I114" s="4">
        <f t="shared" si="16"/>
        <v>0.35</v>
      </c>
      <c r="J114" s="4">
        <f t="shared" si="31"/>
        <v>1.3</v>
      </c>
      <c r="K114" s="4">
        <f t="shared" si="31"/>
        <v>61.3</v>
      </c>
      <c r="L114" s="4">
        <f t="shared" si="31"/>
        <v>8.4</v>
      </c>
      <c r="M114" s="4">
        <f t="shared" si="18"/>
        <v>20</v>
      </c>
      <c r="N114" s="3">
        <f t="shared" si="19"/>
        <v>21.5</v>
      </c>
      <c r="O114" s="3">
        <f t="shared" si="20"/>
        <v>79.7</v>
      </c>
      <c r="P114" s="5">
        <f t="shared" si="21"/>
        <v>0.35073409461663951</v>
      </c>
      <c r="Q114" s="5">
        <f t="shared" si="22"/>
        <v>1.3001631321370311</v>
      </c>
      <c r="R114" s="5">
        <f t="shared" si="23"/>
        <v>61.3</v>
      </c>
      <c r="S114" s="5">
        <f t="shared" si="24"/>
        <v>8.4</v>
      </c>
      <c r="T114" s="5">
        <f t="shared" si="25"/>
        <v>20</v>
      </c>
      <c r="U114" s="5">
        <f t="shared" si="26"/>
        <v>7.3409461663953568E-4</v>
      </c>
      <c r="V114" s="5">
        <f t="shared" si="27"/>
        <v>-3.9836867862969028E-2</v>
      </c>
      <c r="W114" s="5">
        <f t="shared" si="28"/>
        <v>0</v>
      </c>
      <c r="X114" s="5">
        <f t="shared" si="29"/>
        <v>4.0000000000000924E-2</v>
      </c>
      <c r="Y114" s="5">
        <f t="shared" si="30"/>
        <v>-1.1999999999999993</v>
      </c>
    </row>
    <row r="115" spans="1:25" x14ac:dyDescent="0.3">
      <c r="A115" s="1">
        <v>113</v>
      </c>
      <c r="B115" s="1" t="s">
        <v>123</v>
      </c>
      <c r="C115" s="2" t="s">
        <v>12</v>
      </c>
      <c r="D115" s="2">
        <v>0.37</v>
      </c>
      <c r="E115" s="2">
        <v>1.36</v>
      </c>
      <c r="F115" s="2">
        <v>93.7</v>
      </c>
      <c r="G115" s="2">
        <v>6.03</v>
      </c>
      <c r="H115" s="2">
        <v>75.8</v>
      </c>
      <c r="I115" s="4">
        <f t="shared" si="16"/>
        <v>0.37</v>
      </c>
      <c r="J115" s="4">
        <f t="shared" si="31"/>
        <v>1.4</v>
      </c>
      <c r="K115" s="4">
        <f t="shared" si="31"/>
        <v>93.7</v>
      </c>
      <c r="L115" s="4">
        <f t="shared" si="31"/>
        <v>6</v>
      </c>
      <c r="M115" s="4">
        <f t="shared" si="18"/>
        <v>75</v>
      </c>
      <c r="N115" s="3">
        <f t="shared" si="19"/>
        <v>34.700000000000003</v>
      </c>
      <c r="O115" s="3">
        <f t="shared" si="20"/>
        <v>131.19999999999999</v>
      </c>
      <c r="P115" s="5">
        <f t="shared" si="21"/>
        <v>0.37033084311632875</v>
      </c>
      <c r="Q115" s="5">
        <f t="shared" si="22"/>
        <v>1.4002134471718248</v>
      </c>
      <c r="R115" s="5">
        <f t="shared" si="23"/>
        <v>93.7</v>
      </c>
      <c r="S115" s="5">
        <f t="shared" si="24"/>
        <v>6</v>
      </c>
      <c r="T115" s="5">
        <f t="shared" si="25"/>
        <v>75</v>
      </c>
      <c r="U115" s="5">
        <f t="shared" si="26"/>
        <v>3.3084311632874952E-4</v>
      </c>
      <c r="V115" s="5">
        <f t="shared" si="27"/>
        <v>4.0213447171824734E-2</v>
      </c>
      <c r="W115" s="5">
        <f t="shared" si="28"/>
        <v>0</v>
      </c>
      <c r="X115" s="5">
        <f t="shared" si="29"/>
        <v>-3.0000000000000249E-2</v>
      </c>
      <c r="Y115" s="5">
        <f t="shared" si="30"/>
        <v>-0.79999999999999716</v>
      </c>
    </row>
    <row r="116" spans="1:25" x14ac:dyDescent="0.3">
      <c r="A116" s="1">
        <v>114</v>
      </c>
      <c r="B116" s="1" t="s">
        <v>124</v>
      </c>
      <c r="C116" s="2" t="s">
        <v>12</v>
      </c>
      <c r="D116" s="2">
        <v>0.43</v>
      </c>
      <c r="E116" s="2">
        <v>2.0499999999999998</v>
      </c>
      <c r="F116" s="2">
        <v>38.4</v>
      </c>
      <c r="G116" s="2">
        <v>10.9</v>
      </c>
      <c r="H116" s="2">
        <v>41.7</v>
      </c>
      <c r="I116" s="4">
        <f t="shared" si="16"/>
        <v>0.43</v>
      </c>
      <c r="J116" s="4">
        <f t="shared" si="31"/>
        <v>2.1</v>
      </c>
      <c r="K116" s="4">
        <f t="shared" si="31"/>
        <v>38.4</v>
      </c>
      <c r="L116" s="4">
        <f t="shared" si="31"/>
        <v>10.9</v>
      </c>
      <c r="M116" s="4">
        <f t="shared" si="18"/>
        <v>40</v>
      </c>
      <c r="N116" s="3">
        <f t="shared" si="19"/>
        <v>16.5</v>
      </c>
      <c r="O116" s="3">
        <f t="shared" si="20"/>
        <v>80.599999999999994</v>
      </c>
      <c r="P116" s="5">
        <f t="shared" si="21"/>
        <v>0.4296875</v>
      </c>
      <c r="Q116" s="5">
        <f t="shared" si="22"/>
        <v>2.0989583333333335</v>
      </c>
      <c r="R116" s="5">
        <f t="shared" si="23"/>
        <v>38.4</v>
      </c>
      <c r="S116" s="5">
        <f t="shared" si="24"/>
        <v>10.9</v>
      </c>
      <c r="T116" s="5">
        <f t="shared" si="25"/>
        <v>40</v>
      </c>
      <c r="U116" s="5">
        <f t="shared" si="26"/>
        <v>-3.1249999999999334E-4</v>
      </c>
      <c r="V116" s="5">
        <f t="shared" si="27"/>
        <v>4.8958333333333659E-2</v>
      </c>
      <c r="W116" s="5">
        <f t="shared" si="28"/>
        <v>0</v>
      </c>
      <c r="X116" s="5">
        <f t="shared" si="29"/>
        <v>0</v>
      </c>
      <c r="Y116" s="5">
        <f t="shared" si="30"/>
        <v>-1.7000000000000028</v>
      </c>
    </row>
    <row r="117" spans="1:25" x14ac:dyDescent="0.3">
      <c r="A117" s="1">
        <v>115</v>
      </c>
      <c r="B117" s="1" t="s">
        <v>125</v>
      </c>
      <c r="C117" s="2" t="s">
        <v>12</v>
      </c>
      <c r="D117" s="2">
        <v>0.18</v>
      </c>
      <c r="E117" s="2">
        <v>1.78</v>
      </c>
      <c r="F117" s="2">
        <v>16.8</v>
      </c>
      <c r="G117" s="2">
        <v>25</v>
      </c>
      <c r="H117" s="2">
        <v>49</v>
      </c>
      <c r="I117" s="4">
        <f t="shared" si="16"/>
        <v>0.18</v>
      </c>
      <c r="J117" s="4">
        <f t="shared" si="31"/>
        <v>1.8</v>
      </c>
      <c r="K117" s="4">
        <f t="shared" si="31"/>
        <v>16.8</v>
      </c>
      <c r="L117" s="4">
        <f t="shared" si="31"/>
        <v>25</v>
      </c>
      <c r="M117" s="4">
        <f t="shared" si="18"/>
        <v>50</v>
      </c>
      <c r="N117" s="3">
        <f t="shared" si="19"/>
        <v>3</v>
      </c>
      <c r="O117" s="3">
        <f t="shared" si="20"/>
        <v>30.2</v>
      </c>
      <c r="P117" s="5">
        <f t="shared" si="21"/>
        <v>0.17857142857142858</v>
      </c>
      <c r="Q117" s="5">
        <f t="shared" si="22"/>
        <v>1.7976190476190474</v>
      </c>
      <c r="R117" s="5">
        <f t="shared" si="23"/>
        <v>16.8</v>
      </c>
      <c r="S117" s="5">
        <f t="shared" si="24"/>
        <v>25</v>
      </c>
      <c r="T117" s="5">
        <f t="shared" si="25"/>
        <v>50</v>
      </c>
      <c r="U117" s="5">
        <f t="shared" si="26"/>
        <v>-1.4285714285714179E-3</v>
      </c>
      <c r="V117" s="5">
        <f t="shared" si="27"/>
        <v>1.7619047619047423E-2</v>
      </c>
      <c r="W117" s="5">
        <f t="shared" si="28"/>
        <v>0</v>
      </c>
      <c r="X117" s="5">
        <f t="shared" si="29"/>
        <v>0</v>
      </c>
      <c r="Y117" s="5">
        <f t="shared" si="30"/>
        <v>1</v>
      </c>
    </row>
    <row r="118" spans="1:25" x14ac:dyDescent="0.3">
      <c r="A118" s="1">
        <v>116</v>
      </c>
      <c r="B118" s="1" t="s">
        <v>126</v>
      </c>
      <c r="C118" s="2" t="s">
        <v>10</v>
      </c>
      <c r="D118" s="2">
        <v>0.1</v>
      </c>
      <c r="E118" s="2">
        <v>3</v>
      </c>
      <c r="F118" s="2">
        <v>10</v>
      </c>
      <c r="G118" s="2">
        <v>5</v>
      </c>
      <c r="H118" s="2">
        <v>90</v>
      </c>
      <c r="I118" s="4">
        <f t="shared" si="16"/>
        <v>0.1</v>
      </c>
      <c r="J118" s="4">
        <f t="shared" si="31"/>
        <v>3</v>
      </c>
      <c r="K118" s="4">
        <f t="shared" si="31"/>
        <v>10</v>
      </c>
      <c r="L118" s="4">
        <f t="shared" si="31"/>
        <v>5</v>
      </c>
      <c r="M118" s="4">
        <f t="shared" si="18"/>
        <v>90</v>
      </c>
      <c r="N118" s="3">
        <f t="shared" si="19"/>
        <v>1</v>
      </c>
      <c r="O118" s="3">
        <f t="shared" si="20"/>
        <v>30</v>
      </c>
      <c r="P118" s="5">
        <f t="shared" si="21"/>
        <v>0.1</v>
      </c>
      <c r="Q118" s="5">
        <f t="shared" si="22"/>
        <v>3</v>
      </c>
      <c r="R118" s="5">
        <f t="shared" si="23"/>
        <v>10</v>
      </c>
      <c r="S118" s="5">
        <f t="shared" si="24"/>
        <v>5</v>
      </c>
      <c r="T118" s="5">
        <f t="shared" si="25"/>
        <v>90</v>
      </c>
      <c r="U118" s="5">
        <f t="shared" si="26"/>
        <v>0</v>
      </c>
      <c r="V118" s="5">
        <f t="shared" si="27"/>
        <v>0</v>
      </c>
      <c r="W118" s="5">
        <f t="shared" si="28"/>
        <v>0</v>
      </c>
      <c r="X118" s="5">
        <f t="shared" si="29"/>
        <v>0</v>
      </c>
      <c r="Y118" s="5">
        <f t="shared" si="30"/>
        <v>0</v>
      </c>
    </row>
    <row r="119" spans="1:25" x14ac:dyDescent="0.3">
      <c r="A119" s="1">
        <v>117</v>
      </c>
      <c r="B119" s="1" t="s">
        <v>127</v>
      </c>
      <c r="C119" s="2" t="s">
        <v>12</v>
      </c>
      <c r="D119" s="2">
        <v>0.38</v>
      </c>
      <c r="E119" s="2">
        <v>1.59</v>
      </c>
      <c r="F119" s="2">
        <v>43.3</v>
      </c>
      <c r="G119" s="2">
        <v>20.3</v>
      </c>
      <c r="H119" s="2">
        <v>37.6</v>
      </c>
      <c r="I119" s="4">
        <f t="shared" si="16"/>
        <v>0.38</v>
      </c>
      <c r="J119" s="4">
        <f t="shared" si="31"/>
        <v>1.6</v>
      </c>
      <c r="K119" s="4">
        <f t="shared" si="31"/>
        <v>43.3</v>
      </c>
      <c r="L119" s="4">
        <f t="shared" si="31"/>
        <v>20.3</v>
      </c>
      <c r="M119" s="4">
        <f t="shared" si="18"/>
        <v>40</v>
      </c>
      <c r="N119" s="3">
        <f t="shared" si="19"/>
        <v>16.5</v>
      </c>
      <c r="O119" s="3">
        <f t="shared" si="20"/>
        <v>69.3</v>
      </c>
      <c r="P119" s="5">
        <f t="shared" si="21"/>
        <v>0.38106235565819863</v>
      </c>
      <c r="Q119" s="5">
        <f t="shared" si="22"/>
        <v>1.6004618937644342</v>
      </c>
      <c r="R119" s="5">
        <f t="shared" si="23"/>
        <v>43.3</v>
      </c>
      <c r="S119" s="5">
        <f t="shared" si="24"/>
        <v>20.3</v>
      </c>
      <c r="T119" s="5">
        <f t="shared" si="25"/>
        <v>40</v>
      </c>
      <c r="U119" s="5">
        <f t="shared" si="26"/>
        <v>1.0623556581986215E-3</v>
      </c>
      <c r="V119" s="5">
        <f t="shared" si="27"/>
        <v>1.0461893764434071E-2</v>
      </c>
      <c r="W119" s="5">
        <f t="shared" si="28"/>
        <v>0</v>
      </c>
      <c r="X119" s="5">
        <f t="shared" si="29"/>
        <v>0</v>
      </c>
      <c r="Y119" s="5">
        <f t="shared" si="30"/>
        <v>2.3999999999999986</v>
      </c>
    </row>
    <row r="120" spans="1:25" x14ac:dyDescent="0.3">
      <c r="A120" s="1">
        <v>118</v>
      </c>
      <c r="B120" s="1" t="s">
        <v>128</v>
      </c>
      <c r="C120" s="2" t="s">
        <v>12</v>
      </c>
      <c r="D120" s="2">
        <v>0.25</v>
      </c>
      <c r="E120" s="2">
        <v>1.71</v>
      </c>
      <c r="F120" s="2">
        <v>92.7</v>
      </c>
      <c r="G120" s="2">
        <v>16.600000000000001</v>
      </c>
      <c r="H120" s="2">
        <v>5.56</v>
      </c>
      <c r="I120" s="4">
        <f t="shared" si="16"/>
        <v>0.25</v>
      </c>
      <c r="J120" s="4">
        <f t="shared" si="31"/>
        <v>1.7</v>
      </c>
      <c r="K120" s="4">
        <f t="shared" si="31"/>
        <v>92.7</v>
      </c>
      <c r="L120" s="4">
        <f t="shared" si="31"/>
        <v>16.600000000000001</v>
      </c>
      <c r="M120" s="4">
        <f t="shared" si="18"/>
        <v>5</v>
      </c>
      <c r="N120" s="3">
        <f t="shared" si="19"/>
        <v>23.2</v>
      </c>
      <c r="O120" s="3">
        <f t="shared" si="20"/>
        <v>157.6</v>
      </c>
      <c r="P120" s="5">
        <f t="shared" si="21"/>
        <v>0.25026968716289105</v>
      </c>
      <c r="Q120" s="5">
        <f t="shared" si="22"/>
        <v>1.7001078748651564</v>
      </c>
      <c r="R120" s="5">
        <f t="shared" si="23"/>
        <v>92.7</v>
      </c>
      <c r="S120" s="5">
        <f t="shared" si="24"/>
        <v>16.600000000000001</v>
      </c>
      <c r="T120" s="5">
        <f t="shared" si="25"/>
        <v>5</v>
      </c>
      <c r="U120" s="5">
        <f t="shared" si="26"/>
        <v>2.6968716289105243E-4</v>
      </c>
      <c r="V120" s="5">
        <f t="shared" si="27"/>
        <v>-9.8921251348436101E-3</v>
      </c>
      <c r="W120" s="5">
        <f t="shared" si="28"/>
        <v>0</v>
      </c>
      <c r="X120" s="5">
        <f t="shared" si="29"/>
        <v>0</v>
      </c>
      <c r="Y120" s="5">
        <f t="shared" si="30"/>
        <v>-0.55999999999999961</v>
      </c>
    </row>
    <row r="121" spans="1:25" x14ac:dyDescent="0.3">
      <c r="A121" s="1">
        <v>119</v>
      </c>
      <c r="B121" s="1" t="s">
        <v>129</v>
      </c>
      <c r="C121" s="2" t="s">
        <v>12</v>
      </c>
      <c r="D121" s="2">
        <v>0.19</v>
      </c>
      <c r="E121" s="2">
        <v>1.72</v>
      </c>
      <c r="F121" s="2">
        <v>15.2</v>
      </c>
      <c r="G121" s="2">
        <v>9.39</v>
      </c>
      <c r="H121" s="2">
        <v>34.5</v>
      </c>
      <c r="I121" s="4">
        <f t="shared" si="16"/>
        <v>0.19</v>
      </c>
      <c r="J121" s="4">
        <f t="shared" si="31"/>
        <v>1.7</v>
      </c>
      <c r="K121" s="4">
        <f t="shared" si="31"/>
        <v>15.2</v>
      </c>
      <c r="L121" s="4">
        <f t="shared" si="31"/>
        <v>9.4</v>
      </c>
      <c r="M121" s="4">
        <f t="shared" si="18"/>
        <v>35</v>
      </c>
      <c r="N121" s="3">
        <f t="shared" si="19"/>
        <v>2.9</v>
      </c>
      <c r="O121" s="3">
        <f t="shared" si="20"/>
        <v>25.8</v>
      </c>
      <c r="P121" s="5">
        <f t="shared" si="21"/>
        <v>0.19078947368421054</v>
      </c>
      <c r="Q121" s="5">
        <f t="shared" si="22"/>
        <v>1.6973684210526316</v>
      </c>
      <c r="R121" s="5">
        <f t="shared" si="23"/>
        <v>15.2</v>
      </c>
      <c r="S121" s="5">
        <f t="shared" si="24"/>
        <v>9.4</v>
      </c>
      <c r="T121" s="5">
        <f t="shared" si="25"/>
        <v>35</v>
      </c>
      <c r="U121" s="5">
        <f t="shared" si="26"/>
        <v>7.8947368421053432E-4</v>
      </c>
      <c r="V121" s="5">
        <f t="shared" si="27"/>
        <v>-2.2631578947368336E-2</v>
      </c>
      <c r="W121" s="5">
        <f t="shared" si="28"/>
        <v>0</v>
      </c>
      <c r="X121" s="5">
        <f t="shared" si="29"/>
        <v>9.9999999999997868E-3</v>
      </c>
      <c r="Y121" s="5">
        <f t="shared" si="30"/>
        <v>0.5</v>
      </c>
    </row>
    <row r="122" spans="1:25" x14ac:dyDescent="0.3">
      <c r="A122" s="1">
        <v>120</v>
      </c>
      <c r="B122" s="1" t="s">
        <v>130</v>
      </c>
      <c r="C122" s="2" t="s">
        <v>12</v>
      </c>
      <c r="D122" s="2">
        <v>0.43</v>
      </c>
      <c r="E122" s="2">
        <v>1.32</v>
      </c>
      <c r="F122" s="2">
        <v>35.299999999999997</v>
      </c>
      <c r="G122" s="2">
        <v>19.7</v>
      </c>
      <c r="H122" s="2">
        <v>31.7</v>
      </c>
      <c r="I122" s="4">
        <f t="shared" si="16"/>
        <v>0.43</v>
      </c>
      <c r="J122" s="4">
        <f t="shared" si="31"/>
        <v>1.3</v>
      </c>
      <c r="K122" s="4">
        <f t="shared" si="31"/>
        <v>35.299999999999997</v>
      </c>
      <c r="L122" s="4">
        <f t="shared" si="31"/>
        <v>19.7</v>
      </c>
      <c r="M122" s="4">
        <f t="shared" si="18"/>
        <v>30</v>
      </c>
      <c r="N122" s="3">
        <f t="shared" si="19"/>
        <v>15.2</v>
      </c>
      <c r="O122" s="3">
        <f t="shared" si="20"/>
        <v>45.9</v>
      </c>
      <c r="P122" s="5">
        <f t="shared" si="21"/>
        <v>0.43059490084985835</v>
      </c>
      <c r="Q122" s="5">
        <f t="shared" si="22"/>
        <v>1.3002832861189801</v>
      </c>
      <c r="R122" s="5">
        <f t="shared" si="23"/>
        <v>35.299999999999997</v>
      </c>
      <c r="S122" s="5">
        <f t="shared" si="24"/>
        <v>19.7</v>
      </c>
      <c r="T122" s="5">
        <f t="shared" si="25"/>
        <v>30</v>
      </c>
      <c r="U122" s="5">
        <f t="shared" si="26"/>
        <v>5.9490084985835967E-4</v>
      </c>
      <c r="V122" s="5">
        <f t="shared" si="27"/>
        <v>-1.9716713881019921E-2</v>
      </c>
      <c r="W122" s="5">
        <f t="shared" si="28"/>
        <v>0</v>
      </c>
      <c r="X122" s="5">
        <f t="shared" si="29"/>
        <v>0</v>
      </c>
      <c r="Y122" s="5">
        <f t="shared" si="30"/>
        <v>-1.6999999999999993</v>
      </c>
    </row>
    <row r="123" spans="1:25" x14ac:dyDescent="0.3">
      <c r="A123" s="1">
        <v>121</v>
      </c>
      <c r="B123" s="1" t="s">
        <v>131</v>
      </c>
      <c r="C123" s="2" t="s">
        <v>10</v>
      </c>
      <c r="D123" s="2">
        <v>0.1</v>
      </c>
      <c r="E123" s="2">
        <v>3</v>
      </c>
      <c r="F123" s="2">
        <v>100</v>
      </c>
      <c r="G123" s="2">
        <v>5</v>
      </c>
      <c r="H123" s="2">
        <v>0</v>
      </c>
      <c r="I123" s="4">
        <f t="shared" si="16"/>
        <v>0.1</v>
      </c>
      <c r="J123" s="4">
        <f t="shared" si="31"/>
        <v>3</v>
      </c>
      <c r="K123" s="4">
        <f t="shared" si="31"/>
        <v>100</v>
      </c>
      <c r="L123" s="4">
        <f t="shared" si="31"/>
        <v>5</v>
      </c>
      <c r="M123" s="4">
        <f t="shared" si="18"/>
        <v>0</v>
      </c>
      <c r="N123" s="3">
        <f t="shared" si="19"/>
        <v>10</v>
      </c>
      <c r="O123" s="3">
        <f t="shared" si="20"/>
        <v>300</v>
      </c>
      <c r="P123" s="5">
        <f t="shared" si="21"/>
        <v>0.1</v>
      </c>
      <c r="Q123" s="5">
        <f t="shared" si="22"/>
        <v>3</v>
      </c>
      <c r="R123" s="5">
        <f t="shared" si="23"/>
        <v>100</v>
      </c>
      <c r="S123" s="5">
        <f t="shared" si="24"/>
        <v>5</v>
      </c>
      <c r="T123" s="5">
        <f t="shared" si="25"/>
        <v>0</v>
      </c>
      <c r="U123" s="5">
        <f t="shared" si="26"/>
        <v>0</v>
      </c>
      <c r="V123" s="5">
        <f t="shared" si="27"/>
        <v>0</v>
      </c>
      <c r="W123" s="5">
        <f t="shared" si="28"/>
        <v>0</v>
      </c>
      <c r="X123" s="5">
        <f t="shared" si="29"/>
        <v>0</v>
      </c>
      <c r="Y123" s="5">
        <f t="shared" si="30"/>
        <v>0</v>
      </c>
    </row>
    <row r="124" spans="1:25" x14ac:dyDescent="0.3">
      <c r="A124" s="1">
        <v>122</v>
      </c>
      <c r="B124" s="1" t="s">
        <v>132</v>
      </c>
      <c r="C124" s="2" t="s">
        <v>12</v>
      </c>
      <c r="D124" s="2">
        <v>0.47</v>
      </c>
      <c r="E124" s="2">
        <v>2.97</v>
      </c>
      <c r="F124" s="2">
        <v>55.1</v>
      </c>
      <c r="G124" s="2">
        <v>6.77</v>
      </c>
      <c r="H124" s="2">
        <v>10.4</v>
      </c>
      <c r="I124" s="4">
        <f t="shared" si="16"/>
        <v>0.47</v>
      </c>
      <c r="J124" s="4">
        <f t="shared" si="31"/>
        <v>3</v>
      </c>
      <c r="K124" s="4">
        <f t="shared" si="31"/>
        <v>55.1</v>
      </c>
      <c r="L124" s="4">
        <f t="shared" si="31"/>
        <v>6.8</v>
      </c>
      <c r="M124" s="4">
        <f t="shared" si="18"/>
        <v>10</v>
      </c>
      <c r="N124" s="3">
        <f t="shared" si="19"/>
        <v>25.9</v>
      </c>
      <c r="O124" s="3">
        <f t="shared" si="20"/>
        <v>165.3</v>
      </c>
      <c r="P124" s="5">
        <f t="shared" si="21"/>
        <v>0.47005444646097999</v>
      </c>
      <c r="Q124" s="5">
        <f t="shared" si="22"/>
        <v>3</v>
      </c>
      <c r="R124" s="5">
        <f t="shared" si="23"/>
        <v>55.1</v>
      </c>
      <c r="S124" s="5">
        <f t="shared" si="24"/>
        <v>6.8</v>
      </c>
      <c r="T124" s="5">
        <f t="shared" si="25"/>
        <v>10</v>
      </c>
      <c r="U124" s="5">
        <f t="shared" si="26"/>
        <v>5.4446460980017708E-5</v>
      </c>
      <c r="V124" s="5">
        <f t="shared" si="27"/>
        <v>2.9999999999999805E-2</v>
      </c>
      <c r="W124" s="5">
        <f t="shared" si="28"/>
        <v>0</v>
      </c>
      <c r="X124" s="5">
        <f t="shared" si="29"/>
        <v>3.0000000000000249E-2</v>
      </c>
      <c r="Y124" s="5">
        <f t="shared" si="30"/>
        <v>-0.40000000000000036</v>
      </c>
    </row>
    <row r="125" spans="1:25" x14ac:dyDescent="0.3">
      <c r="A125" s="1">
        <v>123</v>
      </c>
      <c r="B125" s="1" t="s">
        <v>133</v>
      </c>
      <c r="C125" s="2" t="s">
        <v>10</v>
      </c>
      <c r="D125" s="2">
        <v>0.5</v>
      </c>
      <c r="E125" s="2">
        <v>1</v>
      </c>
      <c r="F125" s="2">
        <v>10</v>
      </c>
      <c r="G125" s="2">
        <v>25</v>
      </c>
      <c r="H125" s="2">
        <v>0</v>
      </c>
      <c r="I125" s="4">
        <f t="shared" si="16"/>
        <v>0.5</v>
      </c>
      <c r="J125" s="4">
        <f t="shared" si="31"/>
        <v>1</v>
      </c>
      <c r="K125" s="4">
        <f t="shared" si="31"/>
        <v>10</v>
      </c>
      <c r="L125" s="4">
        <f t="shared" si="31"/>
        <v>25</v>
      </c>
      <c r="M125" s="4">
        <f t="shared" si="18"/>
        <v>0</v>
      </c>
      <c r="N125" s="3">
        <f t="shared" si="19"/>
        <v>5</v>
      </c>
      <c r="O125" s="3">
        <f t="shared" si="20"/>
        <v>10</v>
      </c>
      <c r="P125" s="5">
        <f t="shared" si="21"/>
        <v>0.5</v>
      </c>
      <c r="Q125" s="5">
        <f t="shared" si="22"/>
        <v>1</v>
      </c>
      <c r="R125" s="5">
        <f t="shared" si="23"/>
        <v>10</v>
      </c>
      <c r="S125" s="5">
        <f t="shared" si="24"/>
        <v>25</v>
      </c>
      <c r="T125" s="5">
        <f t="shared" si="25"/>
        <v>0</v>
      </c>
      <c r="U125" s="5">
        <f t="shared" si="26"/>
        <v>0</v>
      </c>
      <c r="V125" s="5">
        <f t="shared" si="27"/>
        <v>0</v>
      </c>
      <c r="W125" s="5">
        <f t="shared" si="28"/>
        <v>0</v>
      </c>
      <c r="X125" s="5">
        <f t="shared" si="29"/>
        <v>0</v>
      </c>
      <c r="Y125" s="5">
        <f t="shared" si="30"/>
        <v>0</v>
      </c>
    </row>
    <row r="126" spans="1:25" x14ac:dyDescent="0.3">
      <c r="A126" s="1">
        <v>124</v>
      </c>
      <c r="B126" s="1" t="s">
        <v>134</v>
      </c>
      <c r="C126" s="2" t="s">
        <v>12</v>
      </c>
      <c r="D126" s="2">
        <v>0.34</v>
      </c>
      <c r="E126" s="2">
        <v>2.34</v>
      </c>
      <c r="F126" s="2">
        <v>29.3</v>
      </c>
      <c r="G126" s="2">
        <v>19.5</v>
      </c>
      <c r="H126" s="2">
        <v>76.8</v>
      </c>
      <c r="I126" s="4">
        <f t="shared" si="16"/>
        <v>0.34</v>
      </c>
      <c r="J126" s="4">
        <f t="shared" si="31"/>
        <v>2.2999999999999998</v>
      </c>
      <c r="K126" s="4">
        <f t="shared" si="31"/>
        <v>29.3</v>
      </c>
      <c r="L126" s="4">
        <f t="shared" si="31"/>
        <v>19.5</v>
      </c>
      <c r="M126" s="4">
        <f t="shared" si="18"/>
        <v>75</v>
      </c>
      <c r="N126" s="3">
        <f t="shared" si="19"/>
        <v>10</v>
      </c>
      <c r="O126" s="3">
        <f t="shared" si="20"/>
        <v>67.400000000000006</v>
      </c>
      <c r="P126" s="5">
        <f t="shared" si="21"/>
        <v>0.34129692832764502</v>
      </c>
      <c r="Q126" s="5">
        <f t="shared" si="22"/>
        <v>2.3003412969283277</v>
      </c>
      <c r="R126" s="5">
        <f t="shared" si="23"/>
        <v>29.3</v>
      </c>
      <c r="S126" s="5">
        <f t="shared" si="24"/>
        <v>19.5</v>
      </c>
      <c r="T126" s="5">
        <f t="shared" si="25"/>
        <v>75</v>
      </c>
      <c r="U126" s="5">
        <f t="shared" si="26"/>
        <v>1.2969283276449972E-3</v>
      </c>
      <c r="V126" s="5">
        <f t="shared" si="27"/>
        <v>-3.9658703071672186E-2</v>
      </c>
      <c r="W126" s="5">
        <f t="shared" si="28"/>
        <v>0</v>
      </c>
      <c r="X126" s="5">
        <f t="shared" si="29"/>
        <v>0</v>
      </c>
      <c r="Y126" s="5">
        <f t="shared" si="30"/>
        <v>-1.7999999999999972</v>
      </c>
    </row>
    <row r="127" spans="1:25" x14ac:dyDescent="0.3">
      <c r="A127" s="1">
        <v>125</v>
      </c>
      <c r="B127" s="1" t="s">
        <v>135</v>
      </c>
      <c r="C127" s="2" t="s">
        <v>12</v>
      </c>
      <c r="D127" s="2">
        <v>0.41</v>
      </c>
      <c r="E127" s="2">
        <v>2.71</v>
      </c>
      <c r="F127" s="2">
        <v>15.9</v>
      </c>
      <c r="G127" s="2">
        <v>14.1</v>
      </c>
      <c r="H127" s="2">
        <v>50.2</v>
      </c>
      <c r="I127" s="4">
        <f t="shared" si="16"/>
        <v>0.41</v>
      </c>
      <c r="J127" s="4">
        <f t="shared" si="31"/>
        <v>2.7</v>
      </c>
      <c r="K127" s="4">
        <f t="shared" si="31"/>
        <v>15.9</v>
      </c>
      <c r="L127" s="4">
        <f t="shared" si="31"/>
        <v>14.1</v>
      </c>
      <c r="M127" s="4">
        <f t="shared" si="18"/>
        <v>50</v>
      </c>
      <c r="N127" s="3">
        <f t="shared" si="19"/>
        <v>6.5</v>
      </c>
      <c r="O127" s="3">
        <f t="shared" si="20"/>
        <v>42.9</v>
      </c>
      <c r="P127" s="5">
        <f t="shared" si="21"/>
        <v>0.40880503144654085</v>
      </c>
      <c r="Q127" s="5">
        <f t="shared" si="22"/>
        <v>2.6981132075471699</v>
      </c>
      <c r="R127" s="5">
        <f t="shared" si="23"/>
        <v>15.9</v>
      </c>
      <c r="S127" s="5">
        <f t="shared" si="24"/>
        <v>14.1</v>
      </c>
      <c r="T127" s="5">
        <f t="shared" si="25"/>
        <v>50</v>
      </c>
      <c r="U127" s="5">
        <f t="shared" si="26"/>
        <v>-1.1949685534591303E-3</v>
      </c>
      <c r="V127" s="5">
        <f t="shared" si="27"/>
        <v>-1.1886792452830086E-2</v>
      </c>
      <c r="W127" s="5">
        <f t="shared" si="28"/>
        <v>0</v>
      </c>
      <c r="X127" s="5">
        <f t="shared" si="29"/>
        <v>0</v>
      </c>
      <c r="Y127" s="5">
        <f t="shared" si="30"/>
        <v>-0.20000000000000284</v>
      </c>
    </row>
    <row r="128" spans="1:25" x14ac:dyDescent="0.3">
      <c r="A128" s="1">
        <v>126</v>
      </c>
      <c r="B128" s="1" t="s">
        <v>136</v>
      </c>
      <c r="C128" s="2" t="s">
        <v>12</v>
      </c>
      <c r="D128" s="2">
        <v>0.49</v>
      </c>
      <c r="E128" s="2">
        <v>1.29</v>
      </c>
      <c r="F128" s="2">
        <v>64.400000000000006</v>
      </c>
      <c r="G128" s="2">
        <v>18.8</v>
      </c>
      <c r="H128" s="2">
        <v>85.7</v>
      </c>
      <c r="I128" s="4">
        <f t="shared" si="16"/>
        <v>0.49</v>
      </c>
      <c r="J128" s="4">
        <f t="shared" si="31"/>
        <v>1.3</v>
      </c>
      <c r="K128" s="4">
        <f t="shared" si="31"/>
        <v>64.400000000000006</v>
      </c>
      <c r="L128" s="4">
        <f t="shared" si="31"/>
        <v>18.8</v>
      </c>
      <c r="M128" s="4">
        <f t="shared" si="18"/>
        <v>85</v>
      </c>
      <c r="N128" s="3">
        <f t="shared" si="19"/>
        <v>31.6</v>
      </c>
      <c r="O128" s="3">
        <f t="shared" si="20"/>
        <v>83.7</v>
      </c>
      <c r="P128" s="5">
        <f t="shared" si="21"/>
        <v>0.49068322981366458</v>
      </c>
      <c r="Q128" s="5">
        <f t="shared" si="22"/>
        <v>1.2996894409937887</v>
      </c>
      <c r="R128" s="5">
        <f t="shared" si="23"/>
        <v>64.400000000000006</v>
      </c>
      <c r="S128" s="5">
        <f t="shared" si="24"/>
        <v>18.8</v>
      </c>
      <c r="T128" s="5">
        <f t="shared" si="25"/>
        <v>85</v>
      </c>
      <c r="U128" s="5">
        <f t="shared" si="26"/>
        <v>6.8322981366458757E-4</v>
      </c>
      <c r="V128" s="5">
        <f t="shared" si="27"/>
        <v>9.6894409937886561E-3</v>
      </c>
      <c r="W128" s="5">
        <f t="shared" si="28"/>
        <v>0</v>
      </c>
      <c r="X128" s="5">
        <f t="shared" si="29"/>
        <v>0</v>
      </c>
      <c r="Y128" s="5">
        <f t="shared" si="30"/>
        <v>-0.70000000000000284</v>
      </c>
    </row>
    <row r="129" spans="1:25" x14ac:dyDescent="0.3">
      <c r="A129" s="1">
        <v>127</v>
      </c>
      <c r="B129" s="1" t="s">
        <v>137</v>
      </c>
      <c r="C129" s="2" t="s">
        <v>12</v>
      </c>
      <c r="D129" s="2">
        <v>0.32</v>
      </c>
      <c r="E129" s="2">
        <v>2.75</v>
      </c>
      <c r="F129" s="2">
        <v>22</v>
      </c>
      <c r="G129" s="2">
        <v>5.41</v>
      </c>
      <c r="H129" s="2">
        <v>46.1</v>
      </c>
      <c r="I129" s="4">
        <f t="shared" si="16"/>
        <v>0.32</v>
      </c>
      <c r="J129" s="4">
        <f t="shared" si="31"/>
        <v>2.8</v>
      </c>
      <c r="K129" s="4">
        <f t="shared" si="31"/>
        <v>22</v>
      </c>
      <c r="L129" s="4">
        <f t="shared" si="31"/>
        <v>5.4</v>
      </c>
      <c r="M129" s="4">
        <f t="shared" si="18"/>
        <v>45</v>
      </c>
      <c r="N129" s="3">
        <f t="shared" si="19"/>
        <v>7</v>
      </c>
      <c r="O129" s="3">
        <f t="shared" si="20"/>
        <v>61.6</v>
      </c>
      <c r="P129" s="5">
        <f t="shared" si="21"/>
        <v>0.31818181818181818</v>
      </c>
      <c r="Q129" s="5">
        <f t="shared" si="22"/>
        <v>2.8000000000000003</v>
      </c>
      <c r="R129" s="5">
        <f t="shared" si="23"/>
        <v>22</v>
      </c>
      <c r="S129" s="5">
        <f t="shared" si="24"/>
        <v>5.4</v>
      </c>
      <c r="T129" s="5">
        <f t="shared" si="25"/>
        <v>45</v>
      </c>
      <c r="U129" s="5">
        <f t="shared" si="26"/>
        <v>-1.8181818181818299E-3</v>
      </c>
      <c r="V129" s="5">
        <f t="shared" si="27"/>
        <v>5.0000000000000266E-2</v>
      </c>
      <c r="W129" s="5">
        <f t="shared" si="28"/>
        <v>0</v>
      </c>
      <c r="X129" s="5">
        <f t="shared" si="29"/>
        <v>-9.9999999999997868E-3</v>
      </c>
      <c r="Y129" s="5">
        <f t="shared" si="30"/>
        <v>-1.1000000000000014</v>
      </c>
    </row>
    <row r="130" spans="1:25" x14ac:dyDescent="0.3">
      <c r="A130" s="1">
        <v>128</v>
      </c>
      <c r="B130" s="1" t="s">
        <v>138</v>
      </c>
      <c r="C130" s="2" t="s">
        <v>12</v>
      </c>
      <c r="D130" s="2">
        <v>0.28000000000000003</v>
      </c>
      <c r="E130" s="2">
        <v>1.08</v>
      </c>
      <c r="F130" s="2">
        <v>99.9</v>
      </c>
      <c r="G130" s="2">
        <v>14</v>
      </c>
      <c r="H130" s="2">
        <v>40.9</v>
      </c>
      <c r="I130" s="4">
        <f t="shared" si="16"/>
        <v>0.28000000000000003</v>
      </c>
      <c r="J130" s="4">
        <f t="shared" si="31"/>
        <v>1.1000000000000001</v>
      </c>
      <c r="K130" s="4">
        <f t="shared" si="31"/>
        <v>99.9</v>
      </c>
      <c r="L130" s="4">
        <f t="shared" si="31"/>
        <v>14</v>
      </c>
      <c r="M130" s="4">
        <f t="shared" si="18"/>
        <v>40</v>
      </c>
      <c r="N130" s="3">
        <f t="shared" si="19"/>
        <v>28</v>
      </c>
      <c r="O130" s="3">
        <f t="shared" si="20"/>
        <v>109.9</v>
      </c>
      <c r="P130" s="5">
        <f t="shared" si="21"/>
        <v>0.28028028028028029</v>
      </c>
      <c r="Q130" s="5">
        <f t="shared" si="22"/>
        <v>1.1001001001001001</v>
      </c>
      <c r="R130" s="5">
        <f t="shared" si="23"/>
        <v>99.9</v>
      </c>
      <c r="S130" s="5">
        <f t="shared" si="24"/>
        <v>14</v>
      </c>
      <c r="T130" s="5">
        <f t="shared" si="25"/>
        <v>40</v>
      </c>
      <c r="U130" s="5">
        <f t="shared" si="26"/>
        <v>2.8028028028026508E-4</v>
      </c>
      <c r="V130" s="5">
        <f t="shared" si="27"/>
        <v>2.0100100100099993E-2</v>
      </c>
      <c r="W130" s="5">
        <f t="shared" si="28"/>
        <v>0</v>
      </c>
      <c r="X130" s="5">
        <f t="shared" si="29"/>
        <v>0</v>
      </c>
      <c r="Y130" s="5">
        <f t="shared" si="30"/>
        <v>-0.89999999999999858</v>
      </c>
    </row>
    <row r="131" spans="1:25" x14ac:dyDescent="0.3">
      <c r="A131" s="1">
        <v>129</v>
      </c>
      <c r="B131" s="1" t="s">
        <v>139</v>
      </c>
      <c r="C131" s="2" t="s">
        <v>12</v>
      </c>
      <c r="D131" s="2">
        <v>0.28999999999999998</v>
      </c>
      <c r="E131" s="2">
        <v>1.5</v>
      </c>
      <c r="F131" s="2">
        <v>14.7</v>
      </c>
      <c r="G131" s="2">
        <v>11.2</v>
      </c>
      <c r="H131" s="2">
        <v>82</v>
      </c>
      <c r="I131" s="4">
        <f t="shared" ref="I131:I160" si="32">D131</f>
        <v>0.28999999999999998</v>
      </c>
      <c r="J131" s="4">
        <f t="shared" ref="J131:L160" si="33">ROUND(E131,1)</f>
        <v>1.5</v>
      </c>
      <c r="K131" s="4">
        <f t="shared" si="33"/>
        <v>14.7</v>
      </c>
      <c r="L131" s="4">
        <f t="shared" si="33"/>
        <v>11.2</v>
      </c>
      <c r="M131" s="4">
        <f t="shared" ref="M131:M194" si="34">MROUND(H131,5)</f>
        <v>80</v>
      </c>
      <c r="N131" s="3">
        <f t="shared" ref="N131:N194" si="35">ROUND(I131*K131,1)</f>
        <v>4.3</v>
      </c>
      <c r="O131" s="3">
        <f t="shared" ref="O131:O194" si="36">ROUND(J131*K131,1)</f>
        <v>22.1</v>
      </c>
      <c r="P131" s="5">
        <f t="shared" ref="P131:P194" si="37">N131/K131</f>
        <v>0.29251700680272108</v>
      </c>
      <c r="Q131" s="5">
        <f t="shared" ref="Q131:Q194" si="38">O131/K131</f>
        <v>1.5034013605442178</v>
      </c>
      <c r="R131" s="5">
        <f t="shared" ref="R131:R194" si="39">K131</f>
        <v>14.7</v>
      </c>
      <c r="S131" s="5">
        <f t="shared" ref="S131:S194" si="40">L131</f>
        <v>11.2</v>
      </c>
      <c r="T131" s="5">
        <f t="shared" ref="T131:T194" si="41">M131</f>
        <v>80</v>
      </c>
      <c r="U131" s="5">
        <f t="shared" ref="U131:U194" si="42">P131-D131</f>
        <v>2.5170068027211001E-3</v>
      </c>
      <c r="V131" s="5">
        <f t="shared" ref="V131:V194" si="43">Q131-E131</f>
        <v>3.4013605442178019E-3</v>
      </c>
      <c r="W131" s="5">
        <f t="shared" ref="W131:W194" si="44">R131-F131</f>
        <v>0</v>
      </c>
      <c r="X131" s="5">
        <f t="shared" ref="X131:X194" si="45">S131-G131</f>
        <v>0</v>
      </c>
      <c r="Y131" s="5">
        <f t="shared" ref="Y131:Y194" si="46">T131-H131</f>
        <v>-2</v>
      </c>
    </row>
    <row r="132" spans="1:25" x14ac:dyDescent="0.3">
      <c r="A132" s="1">
        <v>130</v>
      </c>
      <c r="B132" s="1" t="s">
        <v>140</v>
      </c>
      <c r="C132" s="2" t="s">
        <v>12</v>
      </c>
      <c r="D132" s="2">
        <v>0.3</v>
      </c>
      <c r="E132" s="2">
        <v>2.2400000000000002</v>
      </c>
      <c r="F132" s="2">
        <v>83</v>
      </c>
      <c r="G132" s="2">
        <v>7.34</v>
      </c>
      <c r="H132" s="2">
        <v>24.6</v>
      </c>
      <c r="I132" s="4">
        <f t="shared" si="32"/>
        <v>0.3</v>
      </c>
      <c r="J132" s="4">
        <f t="shared" si="33"/>
        <v>2.2000000000000002</v>
      </c>
      <c r="K132" s="4">
        <f t="shared" si="33"/>
        <v>83</v>
      </c>
      <c r="L132" s="4">
        <f t="shared" si="33"/>
        <v>7.3</v>
      </c>
      <c r="M132" s="4">
        <f t="shared" si="34"/>
        <v>25</v>
      </c>
      <c r="N132" s="3">
        <f t="shared" si="35"/>
        <v>24.9</v>
      </c>
      <c r="O132" s="3">
        <f t="shared" si="36"/>
        <v>182.6</v>
      </c>
      <c r="P132" s="5">
        <f t="shared" si="37"/>
        <v>0.3</v>
      </c>
      <c r="Q132" s="5">
        <f t="shared" si="38"/>
        <v>2.1999999999999997</v>
      </c>
      <c r="R132" s="5">
        <f t="shared" si="39"/>
        <v>83</v>
      </c>
      <c r="S132" s="5">
        <f t="shared" si="40"/>
        <v>7.3</v>
      </c>
      <c r="T132" s="5">
        <f t="shared" si="41"/>
        <v>25</v>
      </c>
      <c r="U132" s="5">
        <f t="shared" si="42"/>
        <v>0</v>
      </c>
      <c r="V132" s="5">
        <f t="shared" si="43"/>
        <v>-4.000000000000048E-2</v>
      </c>
      <c r="W132" s="5">
        <f t="shared" si="44"/>
        <v>0</v>
      </c>
      <c r="X132" s="5">
        <f t="shared" si="45"/>
        <v>-4.0000000000000036E-2</v>
      </c>
      <c r="Y132" s="5">
        <f t="shared" si="46"/>
        <v>0.39999999999999858</v>
      </c>
    </row>
    <row r="133" spans="1:25" x14ac:dyDescent="0.3">
      <c r="A133" s="1">
        <v>131</v>
      </c>
      <c r="B133" s="1" t="s">
        <v>141</v>
      </c>
      <c r="C133" s="2" t="s">
        <v>12</v>
      </c>
      <c r="D133" s="2">
        <v>0.49</v>
      </c>
      <c r="E133" s="2">
        <v>2.09</v>
      </c>
      <c r="F133" s="2">
        <v>39.4</v>
      </c>
      <c r="G133" s="2">
        <v>7.55</v>
      </c>
      <c r="H133" s="2">
        <v>47.1</v>
      </c>
      <c r="I133" s="4">
        <f t="shared" si="32"/>
        <v>0.49</v>
      </c>
      <c r="J133" s="4">
        <f t="shared" si="33"/>
        <v>2.1</v>
      </c>
      <c r="K133" s="4">
        <f t="shared" si="33"/>
        <v>39.4</v>
      </c>
      <c r="L133" s="4">
        <f t="shared" si="33"/>
        <v>7.6</v>
      </c>
      <c r="M133" s="4">
        <f t="shared" si="34"/>
        <v>45</v>
      </c>
      <c r="N133" s="3">
        <f t="shared" si="35"/>
        <v>19.3</v>
      </c>
      <c r="O133" s="3">
        <f t="shared" si="36"/>
        <v>82.7</v>
      </c>
      <c r="P133" s="5">
        <f t="shared" si="37"/>
        <v>0.48984771573604063</v>
      </c>
      <c r="Q133" s="5">
        <f t="shared" si="38"/>
        <v>2.0989847715736043</v>
      </c>
      <c r="R133" s="5">
        <f t="shared" si="39"/>
        <v>39.4</v>
      </c>
      <c r="S133" s="5">
        <f t="shared" si="40"/>
        <v>7.6</v>
      </c>
      <c r="T133" s="5">
        <f t="shared" si="41"/>
        <v>45</v>
      </c>
      <c r="U133" s="5">
        <f t="shared" si="42"/>
        <v>-1.522842639593569E-4</v>
      </c>
      <c r="V133" s="5">
        <f t="shared" si="43"/>
        <v>8.9847715736044442E-3</v>
      </c>
      <c r="W133" s="5">
        <f t="shared" si="44"/>
        <v>0</v>
      </c>
      <c r="X133" s="5">
        <f t="shared" si="45"/>
        <v>4.9999999999999822E-2</v>
      </c>
      <c r="Y133" s="5">
        <f t="shared" si="46"/>
        <v>-2.1000000000000014</v>
      </c>
    </row>
    <row r="134" spans="1:25" x14ac:dyDescent="0.3">
      <c r="A134" s="1">
        <v>132</v>
      </c>
      <c r="B134" s="1" t="s">
        <v>142</v>
      </c>
      <c r="C134" s="2" t="s">
        <v>10</v>
      </c>
      <c r="D134" s="2">
        <v>0.5</v>
      </c>
      <c r="E134" s="2">
        <v>3</v>
      </c>
      <c r="F134" s="2">
        <v>100</v>
      </c>
      <c r="G134" s="2">
        <v>5</v>
      </c>
      <c r="H134" s="2">
        <v>90</v>
      </c>
      <c r="I134" s="4">
        <f t="shared" si="32"/>
        <v>0.5</v>
      </c>
      <c r="J134" s="4">
        <f t="shared" si="33"/>
        <v>3</v>
      </c>
      <c r="K134" s="4">
        <f t="shared" si="33"/>
        <v>100</v>
      </c>
      <c r="L134" s="4">
        <f t="shared" si="33"/>
        <v>5</v>
      </c>
      <c r="M134" s="4">
        <f t="shared" si="34"/>
        <v>90</v>
      </c>
      <c r="N134" s="3">
        <f t="shared" si="35"/>
        <v>50</v>
      </c>
      <c r="O134" s="3">
        <f t="shared" si="36"/>
        <v>300</v>
      </c>
      <c r="P134" s="5">
        <f t="shared" si="37"/>
        <v>0.5</v>
      </c>
      <c r="Q134" s="5">
        <f t="shared" si="38"/>
        <v>3</v>
      </c>
      <c r="R134" s="5">
        <f t="shared" si="39"/>
        <v>100</v>
      </c>
      <c r="S134" s="5">
        <f t="shared" si="40"/>
        <v>5</v>
      </c>
      <c r="T134" s="5">
        <f t="shared" si="41"/>
        <v>90</v>
      </c>
      <c r="U134" s="5">
        <f t="shared" si="42"/>
        <v>0</v>
      </c>
      <c r="V134" s="5">
        <f t="shared" si="43"/>
        <v>0</v>
      </c>
      <c r="W134" s="5">
        <f t="shared" si="44"/>
        <v>0</v>
      </c>
      <c r="X134" s="5">
        <f t="shared" si="45"/>
        <v>0</v>
      </c>
      <c r="Y134" s="5">
        <f t="shared" si="46"/>
        <v>0</v>
      </c>
    </row>
    <row r="135" spans="1:25" x14ac:dyDescent="0.3">
      <c r="A135" s="1">
        <v>133</v>
      </c>
      <c r="B135" s="1" t="s">
        <v>143</v>
      </c>
      <c r="C135" s="2" t="s">
        <v>12</v>
      </c>
      <c r="D135" s="2">
        <v>0.23</v>
      </c>
      <c r="E135" s="2">
        <v>2.81</v>
      </c>
      <c r="F135" s="2">
        <v>88.5</v>
      </c>
      <c r="G135" s="2">
        <v>20.6</v>
      </c>
      <c r="H135" s="2">
        <v>74.7</v>
      </c>
      <c r="I135" s="4">
        <f t="shared" si="32"/>
        <v>0.23</v>
      </c>
      <c r="J135" s="4">
        <f t="shared" si="33"/>
        <v>2.8</v>
      </c>
      <c r="K135" s="4">
        <f t="shared" si="33"/>
        <v>88.5</v>
      </c>
      <c r="L135" s="4">
        <f t="shared" si="33"/>
        <v>20.6</v>
      </c>
      <c r="M135" s="4">
        <f t="shared" si="34"/>
        <v>75</v>
      </c>
      <c r="N135" s="3">
        <f t="shared" si="35"/>
        <v>20.399999999999999</v>
      </c>
      <c r="O135" s="3">
        <f t="shared" si="36"/>
        <v>247.8</v>
      </c>
      <c r="P135" s="5">
        <f t="shared" si="37"/>
        <v>0.23050847457627116</v>
      </c>
      <c r="Q135" s="5">
        <f t="shared" si="38"/>
        <v>2.8000000000000003</v>
      </c>
      <c r="R135" s="5">
        <f t="shared" si="39"/>
        <v>88.5</v>
      </c>
      <c r="S135" s="5">
        <f t="shared" si="40"/>
        <v>20.6</v>
      </c>
      <c r="T135" s="5">
        <f t="shared" si="41"/>
        <v>75</v>
      </c>
      <c r="U135" s="5">
        <f t="shared" si="42"/>
        <v>5.0847457627115067E-4</v>
      </c>
      <c r="V135" s="5">
        <f t="shared" si="43"/>
        <v>-9.9999999999997868E-3</v>
      </c>
      <c r="W135" s="5">
        <f t="shared" si="44"/>
        <v>0</v>
      </c>
      <c r="X135" s="5">
        <f t="shared" si="45"/>
        <v>0</v>
      </c>
      <c r="Y135" s="5">
        <f t="shared" si="46"/>
        <v>0.29999999999999716</v>
      </c>
    </row>
    <row r="136" spans="1:25" x14ac:dyDescent="0.3">
      <c r="A136" s="1">
        <v>134</v>
      </c>
      <c r="B136" s="1" t="s">
        <v>144</v>
      </c>
      <c r="C136" s="2" t="s">
        <v>12</v>
      </c>
      <c r="D136" s="2">
        <v>0.44</v>
      </c>
      <c r="E136" s="2">
        <v>2.99</v>
      </c>
      <c r="F136" s="2">
        <v>87.4</v>
      </c>
      <c r="G136" s="2">
        <v>12.6</v>
      </c>
      <c r="H136" s="2">
        <v>80.7</v>
      </c>
      <c r="I136" s="4">
        <f t="shared" si="32"/>
        <v>0.44</v>
      </c>
      <c r="J136" s="4">
        <f t="shared" si="33"/>
        <v>3</v>
      </c>
      <c r="K136" s="4">
        <f t="shared" si="33"/>
        <v>87.4</v>
      </c>
      <c r="L136" s="4">
        <f t="shared" si="33"/>
        <v>12.6</v>
      </c>
      <c r="M136" s="4">
        <f t="shared" si="34"/>
        <v>80</v>
      </c>
      <c r="N136" s="3">
        <f t="shared" si="35"/>
        <v>38.5</v>
      </c>
      <c r="O136" s="3">
        <f t="shared" si="36"/>
        <v>262.2</v>
      </c>
      <c r="P136" s="5">
        <f t="shared" si="37"/>
        <v>0.44050343249427915</v>
      </c>
      <c r="Q136" s="5">
        <f t="shared" si="38"/>
        <v>2.9999999999999996</v>
      </c>
      <c r="R136" s="5">
        <f t="shared" si="39"/>
        <v>87.4</v>
      </c>
      <c r="S136" s="5">
        <f t="shared" si="40"/>
        <v>12.6</v>
      </c>
      <c r="T136" s="5">
        <f t="shared" si="41"/>
        <v>80</v>
      </c>
      <c r="U136" s="5">
        <f t="shared" si="42"/>
        <v>5.0343249427914349E-4</v>
      </c>
      <c r="V136" s="5">
        <f t="shared" si="43"/>
        <v>9.9999999999993427E-3</v>
      </c>
      <c r="W136" s="5">
        <f t="shared" si="44"/>
        <v>0</v>
      </c>
      <c r="X136" s="5">
        <f t="shared" si="45"/>
        <v>0</v>
      </c>
      <c r="Y136" s="5">
        <f t="shared" si="46"/>
        <v>-0.70000000000000284</v>
      </c>
    </row>
    <row r="137" spans="1:25" x14ac:dyDescent="0.3">
      <c r="A137" s="1">
        <v>135</v>
      </c>
      <c r="B137" s="1" t="s">
        <v>145</v>
      </c>
      <c r="C137" s="2" t="s">
        <v>12</v>
      </c>
      <c r="D137" s="2">
        <v>0.14000000000000001</v>
      </c>
      <c r="E137" s="2">
        <v>2.64</v>
      </c>
      <c r="F137" s="2">
        <v>75.7</v>
      </c>
      <c r="G137" s="2">
        <v>24.5</v>
      </c>
      <c r="H137" s="2">
        <v>0.28000000000000003</v>
      </c>
      <c r="I137" s="4">
        <f t="shared" si="32"/>
        <v>0.14000000000000001</v>
      </c>
      <c r="J137" s="4">
        <f t="shared" si="33"/>
        <v>2.6</v>
      </c>
      <c r="K137" s="4">
        <f t="shared" si="33"/>
        <v>75.7</v>
      </c>
      <c r="L137" s="4">
        <f t="shared" si="33"/>
        <v>24.5</v>
      </c>
      <c r="M137" s="4">
        <f t="shared" si="34"/>
        <v>0</v>
      </c>
      <c r="N137" s="3">
        <f t="shared" si="35"/>
        <v>10.6</v>
      </c>
      <c r="O137" s="3">
        <f t="shared" si="36"/>
        <v>196.8</v>
      </c>
      <c r="P137" s="5">
        <f t="shared" si="37"/>
        <v>0.14002642007926022</v>
      </c>
      <c r="Q137" s="5">
        <f t="shared" si="38"/>
        <v>2.5997357992073975</v>
      </c>
      <c r="R137" s="5">
        <f t="shared" si="39"/>
        <v>75.7</v>
      </c>
      <c r="S137" s="5">
        <f t="shared" si="40"/>
        <v>24.5</v>
      </c>
      <c r="T137" s="5">
        <f t="shared" si="41"/>
        <v>0</v>
      </c>
      <c r="U137" s="5">
        <f t="shared" si="42"/>
        <v>2.6420079260208729E-5</v>
      </c>
      <c r="V137" s="5">
        <f t="shared" si="43"/>
        <v>-4.0264200792602622E-2</v>
      </c>
      <c r="W137" s="5">
        <f t="shared" si="44"/>
        <v>0</v>
      </c>
      <c r="X137" s="5">
        <f t="shared" si="45"/>
        <v>0</v>
      </c>
      <c r="Y137" s="5">
        <f t="shared" si="46"/>
        <v>-0.28000000000000003</v>
      </c>
    </row>
    <row r="138" spans="1:25" x14ac:dyDescent="0.3">
      <c r="A138" s="1">
        <v>136</v>
      </c>
      <c r="B138" s="1" t="s">
        <v>146</v>
      </c>
      <c r="C138" s="2" t="s">
        <v>12</v>
      </c>
      <c r="D138" s="2">
        <v>0.13</v>
      </c>
      <c r="E138" s="2">
        <v>1.06</v>
      </c>
      <c r="F138" s="2">
        <v>34.9</v>
      </c>
      <c r="G138" s="2">
        <v>9</v>
      </c>
      <c r="H138" s="2">
        <v>16.399999999999999</v>
      </c>
      <c r="I138" s="4">
        <f t="shared" si="32"/>
        <v>0.13</v>
      </c>
      <c r="J138" s="4">
        <f t="shared" si="33"/>
        <v>1.1000000000000001</v>
      </c>
      <c r="K138" s="4">
        <f t="shared" si="33"/>
        <v>34.9</v>
      </c>
      <c r="L138" s="4">
        <f t="shared" si="33"/>
        <v>9</v>
      </c>
      <c r="M138" s="4">
        <f t="shared" si="34"/>
        <v>15</v>
      </c>
      <c r="N138" s="3">
        <f t="shared" si="35"/>
        <v>4.5</v>
      </c>
      <c r="O138" s="3">
        <f t="shared" si="36"/>
        <v>38.4</v>
      </c>
      <c r="P138" s="5">
        <f t="shared" si="37"/>
        <v>0.12893982808022922</v>
      </c>
      <c r="Q138" s="5">
        <f t="shared" si="38"/>
        <v>1.1002865329512894</v>
      </c>
      <c r="R138" s="5">
        <f t="shared" si="39"/>
        <v>34.9</v>
      </c>
      <c r="S138" s="5">
        <f t="shared" si="40"/>
        <v>9</v>
      </c>
      <c r="T138" s="5">
        <f t="shared" si="41"/>
        <v>15</v>
      </c>
      <c r="U138" s="5">
        <f t="shared" si="42"/>
        <v>-1.060171919770786E-3</v>
      </c>
      <c r="V138" s="5">
        <f t="shared" si="43"/>
        <v>4.0286532951289367E-2</v>
      </c>
      <c r="W138" s="5">
        <f t="shared" si="44"/>
        <v>0</v>
      </c>
      <c r="X138" s="5">
        <f t="shared" si="45"/>
        <v>0</v>
      </c>
      <c r="Y138" s="5">
        <f t="shared" si="46"/>
        <v>-1.3999999999999986</v>
      </c>
    </row>
    <row r="139" spans="1:25" x14ac:dyDescent="0.3">
      <c r="A139" s="1">
        <v>137</v>
      </c>
      <c r="B139" s="1" t="s">
        <v>147</v>
      </c>
      <c r="C139" s="2" t="s">
        <v>12</v>
      </c>
      <c r="D139" s="2">
        <v>0.3</v>
      </c>
      <c r="E139" s="2">
        <v>2.39</v>
      </c>
      <c r="F139" s="2">
        <v>50.1</v>
      </c>
      <c r="G139" s="2">
        <v>14.7</v>
      </c>
      <c r="H139" s="2">
        <v>58.5</v>
      </c>
      <c r="I139" s="4">
        <f t="shared" si="32"/>
        <v>0.3</v>
      </c>
      <c r="J139" s="4">
        <f t="shared" si="33"/>
        <v>2.4</v>
      </c>
      <c r="K139" s="4">
        <f t="shared" si="33"/>
        <v>50.1</v>
      </c>
      <c r="L139" s="4">
        <f t="shared" si="33"/>
        <v>14.7</v>
      </c>
      <c r="M139" s="4">
        <f t="shared" si="34"/>
        <v>60</v>
      </c>
      <c r="N139" s="3">
        <f t="shared" si="35"/>
        <v>15</v>
      </c>
      <c r="O139" s="3">
        <f t="shared" si="36"/>
        <v>120.2</v>
      </c>
      <c r="P139" s="5">
        <f t="shared" si="37"/>
        <v>0.29940119760479039</v>
      </c>
      <c r="Q139" s="5">
        <f t="shared" si="38"/>
        <v>2.3992015968063871</v>
      </c>
      <c r="R139" s="5">
        <f t="shared" si="39"/>
        <v>50.1</v>
      </c>
      <c r="S139" s="5">
        <f t="shared" si="40"/>
        <v>14.7</v>
      </c>
      <c r="T139" s="5">
        <f t="shared" si="41"/>
        <v>60</v>
      </c>
      <c r="U139" s="5">
        <f t="shared" si="42"/>
        <v>-5.9880239520959666E-4</v>
      </c>
      <c r="V139" s="5">
        <f t="shared" si="43"/>
        <v>9.2015968063869913E-3</v>
      </c>
      <c r="W139" s="5">
        <f t="shared" si="44"/>
        <v>0</v>
      </c>
      <c r="X139" s="5">
        <f t="shared" si="45"/>
        <v>0</v>
      </c>
      <c r="Y139" s="5">
        <f t="shared" si="46"/>
        <v>1.5</v>
      </c>
    </row>
    <row r="140" spans="1:25" x14ac:dyDescent="0.3">
      <c r="A140" s="1">
        <v>138</v>
      </c>
      <c r="B140" s="1" t="s">
        <v>148</v>
      </c>
      <c r="C140" s="2" t="s">
        <v>10</v>
      </c>
      <c r="D140" s="2">
        <v>0.5</v>
      </c>
      <c r="E140" s="2">
        <v>3</v>
      </c>
      <c r="F140" s="2">
        <v>10</v>
      </c>
      <c r="G140" s="2">
        <v>25</v>
      </c>
      <c r="H140" s="2">
        <v>0</v>
      </c>
      <c r="I140" s="4">
        <f t="shared" si="32"/>
        <v>0.5</v>
      </c>
      <c r="J140" s="4">
        <f t="shared" si="33"/>
        <v>3</v>
      </c>
      <c r="K140" s="4">
        <f t="shared" si="33"/>
        <v>10</v>
      </c>
      <c r="L140" s="4">
        <f t="shared" si="33"/>
        <v>25</v>
      </c>
      <c r="M140" s="4">
        <f t="shared" si="34"/>
        <v>0</v>
      </c>
      <c r="N140" s="3">
        <f t="shared" si="35"/>
        <v>5</v>
      </c>
      <c r="O140" s="3">
        <f t="shared" si="36"/>
        <v>30</v>
      </c>
      <c r="P140" s="5">
        <f t="shared" si="37"/>
        <v>0.5</v>
      </c>
      <c r="Q140" s="5">
        <f t="shared" si="38"/>
        <v>3</v>
      </c>
      <c r="R140" s="5">
        <f t="shared" si="39"/>
        <v>10</v>
      </c>
      <c r="S140" s="5">
        <f t="shared" si="40"/>
        <v>25</v>
      </c>
      <c r="T140" s="5">
        <f t="shared" si="41"/>
        <v>0</v>
      </c>
      <c r="U140" s="5">
        <f t="shared" si="42"/>
        <v>0</v>
      </c>
      <c r="V140" s="5">
        <f t="shared" si="43"/>
        <v>0</v>
      </c>
      <c r="W140" s="5">
        <f t="shared" si="44"/>
        <v>0</v>
      </c>
      <c r="X140" s="5">
        <f t="shared" si="45"/>
        <v>0</v>
      </c>
      <c r="Y140" s="5">
        <f t="shared" si="46"/>
        <v>0</v>
      </c>
    </row>
    <row r="141" spans="1:25" x14ac:dyDescent="0.3">
      <c r="A141" s="1">
        <v>139</v>
      </c>
      <c r="B141" s="1" t="s">
        <v>149</v>
      </c>
      <c r="C141" s="2" t="s">
        <v>10</v>
      </c>
      <c r="D141" s="2">
        <v>0.1</v>
      </c>
      <c r="E141" s="2">
        <v>1</v>
      </c>
      <c r="F141" s="2">
        <v>100</v>
      </c>
      <c r="G141" s="2">
        <v>5</v>
      </c>
      <c r="H141" s="2">
        <v>0</v>
      </c>
      <c r="I141" s="4">
        <f t="shared" si="32"/>
        <v>0.1</v>
      </c>
      <c r="J141" s="4">
        <f t="shared" si="33"/>
        <v>1</v>
      </c>
      <c r="K141" s="4">
        <f t="shared" si="33"/>
        <v>100</v>
      </c>
      <c r="L141" s="4">
        <f t="shared" si="33"/>
        <v>5</v>
      </c>
      <c r="M141" s="4">
        <f t="shared" si="34"/>
        <v>0</v>
      </c>
      <c r="N141" s="3">
        <f t="shared" si="35"/>
        <v>10</v>
      </c>
      <c r="O141" s="3">
        <f t="shared" si="36"/>
        <v>100</v>
      </c>
      <c r="P141" s="5">
        <f t="shared" si="37"/>
        <v>0.1</v>
      </c>
      <c r="Q141" s="5">
        <f t="shared" si="38"/>
        <v>1</v>
      </c>
      <c r="R141" s="5">
        <f t="shared" si="39"/>
        <v>100</v>
      </c>
      <c r="S141" s="5">
        <f t="shared" si="40"/>
        <v>5</v>
      </c>
      <c r="T141" s="5">
        <f t="shared" si="41"/>
        <v>0</v>
      </c>
      <c r="U141" s="5">
        <f t="shared" si="42"/>
        <v>0</v>
      </c>
      <c r="V141" s="5">
        <f t="shared" si="43"/>
        <v>0</v>
      </c>
      <c r="W141" s="5">
        <f t="shared" si="44"/>
        <v>0</v>
      </c>
      <c r="X141" s="5">
        <f t="shared" si="45"/>
        <v>0</v>
      </c>
      <c r="Y141" s="5">
        <f t="shared" si="46"/>
        <v>0</v>
      </c>
    </row>
    <row r="142" spans="1:25" x14ac:dyDescent="0.3">
      <c r="A142" s="1">
        <v>140</v>
      </c>
      <c r="B142" s="1" t="s">
        <v>150</v>
      </c>
      <c r="C142" s="2" t="s">
        <v>12</v>
      </c>
      <c r="D142" s="2">
        <v>0.34</v>
      </c>
      <c r="E142" s="2">
        <v>2.38</v>
      </c>
      <c r="F142" s="2">
        <v>69.3</v>
      </c>
      <c r="G142" s="2">
        <v>8.26</v>
      </c>
      <c r="H142" s="2">
        <v>78.2</v>
      </c>
      <c r="I142" s="4">
        <f t="shared" si="32"/>
        <v>0.34</v>
      </c>
      <c r="J142" s="4">
        <f t="shared" si="33"/>
        <v>2.4</v>
      </c>
      <c r="K142" s="4">
        <f t="shared" si="33"/>
        <v>69.3</v>
      </c>
      <c r="L142" s="4">
        <f t="shared" si="33"/>
        <v>8.3000000000000007</v>
      </c>
      <c r="M142" s="4">
        <f t="shared" si="34"/>
        <v>80</v>
      </c>
      <c r="N142" s="3">
        <f t="shared" si="35"/>
        <v>23.6</v>
      </c>
      <c r="O142" s="3">
        <f t="shared" si="36"/>
        <v>166.3</v>
      </c>
      <c r="P142" s="5">
        <f t="shared" si="37"/>
        <v>0.3405483405483406</v>
      </c>
      <c r="Q142" s="5">
        <f t="shared" si="38"/>
        <v>2.3997113997113999</v>
      </c>
      <c r="R142" s="5">
        <f t="shared" si="39"/>
        <v>69.3</v>
      </c>
      <c r="S142" s="5">
        <f t="shared" si="40"/>
        <v>8.3000000000000007</v>
      </c>
      <c r="T142" s="5">
        <f t="shared" si="41"/>
        <v>80</v>
      </c>
      <c r="U142" s="5">
        <f t="shared" si="42"/>
        <v>5.4834054834057566E-4</v>
      </c>
      <c r="V142" s="5">
        <f t="shared" si="43"/>
        <v>1.9711399711400013E-2</v>
      </c>
      <c r="W142" s="5">
        <f t="shared" si="44"/>
        <v>0</v>
      </c>
      <c r="X142" s="5">
        <f t="shared" si="45"/>
        <v>4.0000000000000924E-2</v>
      </c>
      <c r="Y142" s="5">
        <f t="shared" si="46"/>
        <v>1.7999999999999972</v>
      </c>
    </row>
    <row r="143" spans="1:25" x14ac:dyDescent="0.3">
      <c r="A143" s="1">
        <v>141</v>
      </c>
      <c r="B143" s="1" t="s">
        <v>151</v>
      </c>
      <c r="C143" s="2" t="s">
        <v>10</v>
      </c>
      <c r="D143" s="2">
        <v>0.5</v>
      </c>
      <c r="E143" s="2">
        <v>1</v>
      </c>
      <c r="F143" s="2">
        <v>100</v>
      </c>
      <c r="G143" s="2">
        <v>25</v>
      </c>
      <c r="H143" s="2">
        <v>0</v>
      </c>
      <c r="I143" s="4">
        <f t="shared" si="32"/>
        <v>0.5</v>
      </c>
      <c r="J143" s="4">
        <f t="shared" si="33"/>
        <v>1</v>
      </c>
      <c r="K143" s="4">
        <f t="shared" si="33"/>
        <v>100</v>
      </c>
      <c r="L143" s="4">
        <f t="shared" si="33"/>
        <v>25</v>
      </c>
      <c r="M143" s="4">
        <f t="shared" si="34"/>
        <v>0</v>
      </c>
      <c r="N143" s="3">
        <f t="shared" si="35"/>
        <v>50</v>
      </c>
      <c r="O143" s="3">
        <f t="shared" si="36"/>
        <v>100</v>
      </c>
      <c r="P143" s="5">
        <f t="shared" si="37"/>
        <v>0.5</v>
      </c>
      <c r="Q143" s="5">
        <f t="shared" si="38"/>
        <v>1</v>
      </c>
      <c r="R143" s="5">
        <f t="shared" si="39"/>
        <v>100</v>
      </c>
      <c r="S143" s="5">
        <f t="shared" si="40"/>
        <v>25</v>
      </c>
      <c r="T143" s="5">
        <f t="shared" si="41"/>
        <v>0</v>
      </c>
      <c r="U143" s="5">
        <f t="shared" si="42"/>
        <v>0</v>
      </c>
      <c r="V143" s="5">
        <f t="shared" si="43"/>
        <v>0</v>
      </c>
      <c r="W143" s="5">
        <f t="shared" si="44"/>
        <v>0</v>
      </c>
      <c r="X143" s="5">
        <f t="shared" si="45"/>
        <v>0</v>
      </c>
      <c r="Y143" s="5">
        <f t="shared" si="46"/>
        <v>0</v>
      </c>
    </row>
    <row r="144" spans="1:25" x14ac:dyDescent="0.3">
      <c r="A144" s="1">
        <v>142</v>
      </c>
      <c r="B144" s="1" t="s">
        <v>152</v>
      </c>
      <c r="C144" s="2" t="s">
        <v>12</v>
      </c>
      <c r="D144" s="2">
        <v>0.12</v>
      </c>
      <c r="E144" s="2">
        <v>1.4</v>
      </c>
      <c r="F144" s="2">
        <v>81.7</v>
      </c>
      <c r="G144" s="2">
        <v>5.23</v>
      </c>
      <c r="H144" s="2">
        <v>60.1</v>
      </c>
      <c r="I144" s="4">
        <f t="shared" si="32"/>
        <v>0.12</v>
      </c>
      <c r="J144" s="4">
        <f t="shared" si="33"/>
        <v>1.4</v>
      </c>
      <c r="K144" s="4">
        <f t="shared" si="33"/>
        <v>81.7</v>
      </c>
      <c r="L144" s="4">
        <f t="shared" si="33"/>
        <v>5.2</v>
      </c>
      <c r="M144" s="4">
        <f t="shared" si="34"/>
        <v>60</v>
      </c>
      <c r="N144" s="3">
        <f t="shared" si="35"/>
        <v>9.8000000000000007</v>
      </c>
      <c r="O144" s="3">
        <f t="shared" si="36"/>
        <v>114.4</v>
      </c>
      <c r="P144" s="5">
        <f t="shared" si="37"/>
        <v>0.11995104039167687</v>
      </c>
      <c r="Q144" s="5">
        <f t="shared" si="38"/>
        <v>1.4002447980416157</v>
      </c>
      <c r="R144" s="5">
        <f t="shared" si="39"/>
        <v>81.7</v>
      </c>
      <c r="S144" s="5">
        <f t="shared" si="40"/>
        <v>5.2</v>
      </c>
      <c r="T144" s="5">
        <f t="shared" si="41"/>
        <v>60</v>
      </c>
      <c r="U144" s="5">
        <f t="shared" si="42"/>
        <v>-4.8959608323129178E-5</v>
      </c>
      <c r="V144" s="5">
        <f t="shared" si="43"/>
        <v>2.4479804161581242E-4</v>
      </c>
      <c r="W144" s="5">
        <f t="shared" si="44"/>
        <v>0</v>
      </c>
      <c r="X144" s="5">
        <f t="shared" si="45"/>
        <v>-3.0000000000000249E-2</v>
      </c>
      <c r="Y144" s="5">
        <f t="shared" si="46"/>
        <v>-0.10000000000000142</v>
      </c>
    </row>
    <row r="145" spans="1:25" x14ac:dyDescent="0.3">
      <c r="A145" s="1">
        <v>143</v>
      </c>
      <c r="B145" s="1" t="s">
        <v>153</v>
      </c>
      <c r="C145" s="2" t="s">
        <v>12</v>
      </c>
      <c r="D145" s="2">
        <v>0.35</v>
      </c>
      <c r="E145" s="2">
        <v>2.5099999999999998</v>
      </c>
      <c r="F145" s="2">
        <v>18.8</v>
      </c>
      <c r="G145" s="2">
        <v>15.9</v>
      </c>
      <c r="H145" s="2">
        <v>86.9</v>
      </c>
      <c r="I145" s="4">
        <f t="shared" si="32"/>
        <v>0.35</v>
      </c>
      <c r="J145" s="4">
        <f t="shared" si="33"/>
        <v>2.5</v>
      </c>
      <c r="K145" s="4">
        <f t="shared" si="33"/>
        <v>18.8</v>
      </c>
      <c r="L145" s="4">
        <f t="shared" si="33"/>
        <v>15.9</v>
      </c>
      <c r="M145" s="4">
        <f t="shared" si="34"/>
        <v>85</v>
      </c>
      <c r="N145" s="3">
        <f t="shared" si="35"/>
        <v>6.6</v>
      </c>
      <c r="O145" s="3">
        <f t="shared" si="36"/>
        <v>47</v>
      </c>
      <c r="P145" s="5">
        <f t="shared" si="37"/>
        <v>0.35106382978723399</v>
      </c>
      <c r="Q145" s="5">
        <f t="shared" si="38"/>
        <v>2.5</v>
      </c>
      <c r="R145" s="5">
        <f t="shared" si="39"/>
        <v>18.8</v>
      </c>
      <c r="S145" s="5">
        <f t="shared" si="40"/>
        <v>15.9</v>
      </c>
      <c r="T145" s="5">
        <f t="shared" si="41"/>
        <v>85</v>
      </c>
      <c r="U145" s="5">
        <f t="shared" si="42"/>
        <v>1.0638297872340163E-3</v>
      </c>
      <c r="V145" s="5">
        <f t="shared" si="43"/>
        <v>-9.9999999999997868E-3</v>
      </c>
      <c r="W145" s="5">
        <f t="shared" si="44"/>
        <v>0</v>
      </c>
      <c r="X145" s="5">
        <f t="shared" si="45"/>
        <v>0</v>
      </c>
      <c r="Y145" s="5">
        <f t="shared" si="46"/>
        <v>-1.9000000000000057</v>
      </c>
    </row>
    <row r="146" spans="1:25" x14ac:dyDescent="0.3">
      <c r="A146" s="1">
        <v>144</v>
      </c>
      <c r="B146" s="1" t="s">
        <v>154</v>
      </c>
      <c r="C146" s="2" t="s">
        <v>10</v>
      </c>
      <c r="D146" s="2">
        <v>0.1</v>
      </c>
      <c r="E146" s="2">
        <v>1</v>
      </c>
      <c r="F146" s="2">
        <v>100</v>
      </c>
      <c r="G146" s="2">
        <v>5</v>
      </c>
      <c r="H146" s="2">
        <v>90</v>
      </c>
      <c r="I146" s="4">
        <f t="shared" si="32"/>
        <v>0.1</v>
      </c>
      <c r="J146" s="4">
        <f t="shared" si="33"/>
        <v>1</v>
      </c>
      <c r="K146" s="4">
        <f t="shared" si="33"/>
        <v>100</v>
      </c>
      <c r="L146" s="4">
        <f t="shared" si="33"/>
        <v>5</v>
      </c>
      <c r="M146" s="4">
        <f t="shared" si="34"/>
        <v>90</v>
      </c>
      <c r="N146" s="3">
        <f t="shared" si="35"/>
        <v>10</v>
      </c>
      <c r="O146" s="3">
        <f t="shared" si="36"/>
        <v>100</v>
      </c>
      <c r="P146" s="5">
        <f t="shared" si="37"/>
        <v>0.1</v>
      </c>
      <c r="Q146" s="5">
        <f t="shared" si="38"/>
        <v>1</v>
      </c>
      <c r="R146" s="5">
        <f t="shared" si="39"/>
        <v>100</v>
      </c>
      <c r="S146" s="5">
        <f t="shared" si="40"/>
        <v>5</v>
      </c>
      <c r="T146" s="5">
        <f t="shared" si="41"/>
        <v>90</v>
      </c>
      <c r="U146" s="5">
        <f t="shared" si="42"/>
        <v>0</v>
      </c>
      <c r="V146" s="5">
        <f t="shared" si="43"/>
        <v>0</v>
      </c>
      <c r="W146" s="5">
        <f t="shared" si="44"/>
        <v>0</v>
      </c>
      <c r="X146" s="5">
        <f t="shared" si="45"/>
        <v>0</v>
      </c>
      <c r="Y146" s="5">
        <f t="shared" si="46"/>
        <v>0</v>
      </c>
    </row>
    <row r="147" spans="1:25" x14ac:dyDescent="0.3">
      <c r="A147" s="1">
        <v>145</v>
      </c>
      <c r="B147" s="1" t="s">
        <v>155</v>
      </c>
      <c r="C147" s="2" t="s">
        <v>12</v>
      </c>
      <c r="D147" s="2">
        <v>0.47</v>
      </c>
      <c r="E147" s="2">
        <v>2.85</v>
      </c>
      <c r="F147" s="2">
        <v>31.5</v>
      </c>
      <c r="G147" s="2">
        <v>15</v>
      </c>
      <c r="H147" s="2">
        <v>40</v>
      </c>
      <c r="I147" s="4">
        <f t="shared" si="32"/>
        <v>0.47</v>
      </c>
      <c r="J147" s="4">
        <f t="shared" si="33"/>
        <v>2.9</v>
      </c>
      <c r="K147" s="4">
        <f t="shared" si="33"/>
        <v>31.5</v>
      </c>
      <c r="L147" s="4">
        <f t="shared" si="33"/>
        <v>15</v>
      </c>
      <c r="M147" s="4">
        <f t="shared" si="34"/>
        <v>40</v>
      </c>
      <c r="N147" s="3">
        <f t="shared" si="35"/>
        <v>14.8</v>
      </c>
      <c r="O147" s="3">
        <f t="shared" si="36"/>
        <v>91.4</v>
      </c>
      <c r="P147" s="5">
        <f t="shared" si="37"/>
        <v>0.46984126984126984</v>
      </c>
      <c r="Q147" s="5">
        <f t="shared" si="38"/>
        <v>2.9015873015873019</v>
      </c>
      <c r="R147" s="5">
        <f t="shared" si="39"/>
        <v>31.5</v>
      </c>
      <c r="S147" s="5">
        <f t="shared" si="40"/>
        <v>15</v>
      </c>
      <c r="T147" s="5">
        <f t="shared" si="41"/>
        <v>40</v>
      </c>
      <c r="U147" s="5">
        <f t="shared" si="42"/>
        <v>-1.5873015873013596E-4</v>
      </c>
      <c r="V147" s="5">
        <f t="shared" si="43"/>
        <v>5.1587301587301848E-2</v>
      </c>
      <c r="W147" s="5">
        <f t="shared" si="44"/>
        <v>0</v>
      </c>
      <c r="X147" s="5">
        <f t="shared" si="45"/>
        <v>0</v>
      </c>
      <c r="Y147" s="5">
        <f t="shared" si="46"/>
        <v>0</v>
      </c>
    </row>
    <row r="148" spans="1:25" x14ac:dyDescent="0.3">
      <c r="A148" s="1">
        <v>146</v>
      </c>
      <c r="B148" s="1" t="s">
        <v>156</v>
      </c>
      <c r="C148" s="2" t="s">
        <v>12</v>
      </c>
      <c r="D148" s="2">
        <v>0.28999999999999998</v>
      </c>
      <c r="E148" s="2">
        <v>2.81</v>
      </c>
      <c r="F148" s="2">
        <v>53.2</v>
      </c>
      <c r="G148" s="2">
        <v>17.600000000000001</v>
      </c>
      <c r="H148" s="2">
        <v>45.3</v>
      </c>
      <c r="I148" s="4">
        <f t="shared" si="32"/>
        <v>0.28999999999999998</v>
      </c>
      <c r="J148" s="4">
        <f t="shared" si="33"/>
        <v>2.8</v>
      </c>
      <c r="K148" s="4">
        <f t="shared" si="33"/>
        <v>53.2</v>
      </c>
      <c r="L148" s="4">
        <f t="shared" si="33"/>
        <v>17.600000000000001</v>
      </c>
      <c r="M148" s="4">
        <f t="shared" si="34"/>
        <v>45</v>
      </c>
      <c r="N148" s="3">
        <f t="shared" si="35"/>
        <v>15.4</v>
      </c>
      <c r="O148" s="3">
        <f t="shared" si="36"/>
        <v>149</v>
      </c>
      <c r="P148" s="5">
        <f t="shared" si="37"/>
        <v>0.28947368421052633</v>
      </c>
      <c r="Q148" s="5">
        <f t="shared" si="38"/>
        <v>2.8007518796992481</v>
      </c>
      <c r="R148" s="5">
        <f t="shared" si="39"/>
        <v>53.2</v>
      </c>
      <c r="S148" s="5">
        <f t="shared" si="40"/>
        <v>17.600000000000001</v>
      </c>
      <c r="T148" s="5">
        <f t="shared" si="41"/>
        <v>45</v>
      </c>
      <c r="U148" s="5">
        <f t="shared" si="42"/>
        <v>-5.2631578947365254E-4</v>
      </c>
      <c r="V148" s="5">
        <f t="shared" si="43"/>
        <v>-9.2481203007519497E-3</v>
      </c>
      <c r="W148" s="5">
        <f t="shared" si="44"/>
        <v>0</v>
      </c>
      <c r="X148" s="5">
        <f t="shared" si="45"/>
        <v>0</v>
      </c>
      <c r="Y148" s="5">
        <f t="shared" si="46"/>
        <v>-0.29999999999999716</v>
      </c>
    </row>
    <row r="149" spans="1:25" x14ac:dyDescent="0.3">
      <c r="A149" s="1">
        <v>147</v>
      </c>
      <c r="B149" s="1" t="s">
        <v>157</v>
      </c>
      <c r="C149" s="2" t="s">
        <v>12</v>
      </c>
      <c r="D149" s="2">
        <v>0.46</v>
      </c>
      <c r="E149" s="2">
        <v>1.9</v>
      </c>
      <c r="F149" s="2">
        <v>99</v>
      </c>
      <c r="G149" s="2">
        <v>16.100000000000001</v>
      </c>
      <c r="H149" s="2">
        <v>19.8</v>
      </c>
      <c r="I149" s="4">
        <f t="shared" si="32"/>
        <v>0.46</v>
      </c>
      <c r="J149" s="4">
        <f t="shared" si="33"/>
        <v>1.9</v>
      </c>
      <c r="K149" s="4">
        <f t="shared" si="33"/>
        <v>99</v>
      </c>
      <c r="L149" s="4">
        <f t="shared" si="33"/>
        <v>16.100000000000001</v>
      </c>
      <c r="M149" s="4">
        <f t="shared" si="34"/>
        <v>20</v>
      </c>
      <c r="N149" s="3">
        <f t="shared" si="35"/>
        <v>45.5</v>
      </c>
      <c r="O149" s="3">
        <f t="shared" si="36"/>
        <v>188.1</v>
      </c>
      <c r="P149" s="5">
        <f t="shared" si="37"/>
        <v>0.45959595959595961</v>
      </c>
      <c r="Q149" s="5">
        <f t="shared" si="38"/>
        <v>1.9</v>
      </c>
      <c r="R149" s="5">
        <f t="shared" si="39"/>
        <v>99</v>
      </c>
      <c r="S149" s="5">
        <f t="shared" si="40"/>
        <v>16.100000000000001</v>
      </c>
      <c r="T149" s="5">
        <f t="shared" si="41"/>
        <v>20</v>
      </c>
      <c r="U149" s="5">
        <f t="shared" si="42"/>
        <v>-4.0404040404040664E-4</v>
      </c>
      <c r="V149" s="5">
        <f t="shared" si="43"/>
        <v>0</v>
      </c>
      <c r="W149" s="5">
        <f t="shared" si="44"/>
        <v>0</v>
      </c>
      <c r="X149" s="5">
        <f t="shared" si="45"/>
        <v>0</v>
      </c>
      <c r="Y149" s="5">
        <f t="shared" si="46"/>
        <v>0.19999999999999929</v>
      </c>
    </row>
    <row r="150" spans="1:25" x14ac:dyDescent="0.3">
      <c r="A150" s="1">
        <v>148</v>
      </c>
      <c r="B150" s="1" t="s">
        <v>158</v>
      </c>
      <c r="C150" s="2" t="s">
        <v>12</v>
      </c>
      <c r="D150" s="2">
        <v>0.22</v>
      </c>
      <c r="E150" s="2">
        <v>2.83</v>
      </c>
      <c r="F150" s="2">
        <v>70</v>
      </c>
      <c r="G150" s="2">
        <v>8.85</v>
      </c>
      <c r="H150" s="2">
        <v>66.099999999999994</v>
      </c>
      <c r="I150" s="4">
        <f t="shared" si="32"/>
        <v>0.22</v>
      </c>
      <c r="J150" s="4">
        <f t="shared" si="33"/>
        <v>2.8</v>
      </c>
      <c r="K150" s="4">
        <f t="shared" si="33"/>
        <v>70</v>
      </c>
      <c r="L150" s="4">
        <f t="shared" si="33"/>
        <v>8.9</v>
      </c>
      <c r="M150" s="4">
        <f t="shared" si="34"/>
        <v>65</v>
      </c>
      <c r="N150" s="3">
        <f t="shared" si="35"/>
        <v>15.4</v>
      </c>
      <c r="O150" s="3">
        <f t="shared" si="36"/>
        <v>196</v>
      </c>
      <c r="P150" s="5">
        <f t="shared" si="37"/>
        <v>0.22</v>
      </c>
      <c r="Q150" s="5">
        <f t="shared" si="38"/>
        <v>2.8</v>
      </c>
      <c r="R150" s="5">
        <f t="shared" si="39"/>
        <v>70</v>
      </c>
      <c r="S150" s="5">
        <f t="shared" si="40"/>
        <v>8.9</v>
      </c>
      <c r="T150" s="5">
        <f t="shared" si="41"/>
        <v>65</v>
      </c>
      <c r="U150" s="5">
        <f t="shared" si="42"/>
        <v>0</v>
      </c>
      <c r="V150" s="5">
        <f t="shared" si="43"/>
        <v>-3.0000000000000249E-2</v>
      </c>
      <c r="W150" s="5">
        <f t="shared" si="44"/>
        <v>0</v>
      </c>
      <c r="X150" s="5">
        <f t="shared" si="45"/>
        <v>5.0000000000000711E-2</v>
      </c>
      <c r="Y150" s="5">
        <f t="shared" si="46"/>
        <v>-1.0999999999999943</v>
      </c>
    </row>
    <row r="151" spans="1:25" x14ac:dyDescent="0.3">
      <c r="A151" s="1">
        <v>149</v>
      </c>
      <c r="B151" s="1" t="s">
        <v>159</v>
      </c>
      <c r="C151" s="2" t="s">
        <v>12</v>
      </c>
      <c r="D151" s="2">
        <v>0.39</v>
      </c>
      <c r="E151" s="2">
        <v>1.81</v>
      </c>
      <c r="F151" s="2">
        <v>36</v>
      </c>
      <c r="G151" s="2">
        <v>12.5</v>
      </c>
      <c r="H151" s="2">
        <v>3.23</v>
      </c>
      <c r="I151" s="4">
        <f t="shared" si="32"/>
        <v>0.39</v>
      </c>
      <c r="J151" s="4">
        <f t="shared" si="33"/>
        <v>1.8</v>
      </c>
      <c r="K151" s="4">
        <f t="shared" si="33"/>
        <v>36</v>
      </c>
      <c r="L151" s="4">
        <f t="shared" si="33"/>
        <v>12.5</v>
      </c>
      <c r="M151" s="4">
        <f t="shared" si="34"/>
        <v>5</v>
      </c>
      <c r="N151" s="3">
        <f t="shared" si="35"/>
        <v>14</v>
      </c>
      <c r="O151" s="3">
        <f t="shared" si="36"/>
        <v>64.8</v>
      </c>
      <c r="P151" s="5">
        <f t="shared" si="37"/>
        <v>0.3888888888888889</v>
      </c>
      <c r="Q151" s="5">
        <f t="shared" si="38"/>
        <v>1.7999999999999998</v>
      </c>
      <c r="R151" s="5">
        <f t="shared" si="39"/>
        <v>36</v>
      </c>
      <c r="S151" s="5">
        <f t="shared" si="40"/>
        <v>12.5</v>
      </c>
      <c r="T151" s="5">
        <f t="shared" si="41"/>
        <v>5</v>
      </c>
      <c r="U151" s="5">
        <f t="shared" si="42"/>
        <v>-1.1111111111111183E-3</v>
      </c>
      <c r="V151" s="5">
        <f t="shared" si="43"/>
        <v>-1.0000000000000231E-2</v>
      </c>
      <c r="W151" s="5">
        <f t="shared" si="44"/>
        <v>0</v>
      </c>
      <c r="X151" s="5">
        <f t="shared" si="45"/>
        <v>0</v>
      </c>
      <c r="Y151" s="5">
        <f t="shared" si="46"/>
        <v>1.77</v>
      </c>
    </row>
    <row r="152" spans="1:25" x14ac:dyDescent="0.3">
      <c r="A152" s="1">
        <v>150</v>
      </c>
      <c r="B152" s="1" t="s">
        <v>160</v>
      </c>
      <c r="C152" s="2" t="s">
        <v>12</v>
      </c>
      <c r="D152" s="2">
        <v>0.44</v>
      </c>
      <c r="E152" s="2">
        <v>1.04</v>
      </c>
      <c r="F152" s="2">
        <v>80</v>
      </c>
      <c r="G152" s="2">
        <v>7.89</v>
      </c>
      <c r="H152" s="2">
        <v>11.7</v>
      </c>
      <c r="I152" s="4">
        <f t="shared" si="32"/>
        <v>0.44</v>
      </c>
      <c r="J152" s="4">
        <f t="shared" si="33"/>
        <v>1</v>
      </c>
      <c r="K152" s="4">
        <f t="shared" si="33"/>
        <v>80</v>
      </c>
      <c r="L152" s="4">
        <f t="shared" si="33"/>
        <v>7.9</v>
      </c>
      <c r="M152" s="4">
        <f t="shared" si="34"/>
        <v>10</v>
      </c>
      <c r="N152" s="3">
        <f t="shared" si="35"/>
        <v>35.200000000000003</v>
      </c>
      <c r="O152" s="3">
        <f t="shared" si="36"/>
        <v>80</v>
      </c>
      <c r="P152" s="5">
        <f t="shared" si="37"/>
        <v>0.44000000000000006</v>
      </c>
      <c r="Q152" s="5">
        <f t="shared" si="38"/>
        <v>1</v>
      </c>
      <c r="R152" s="5">
        <f t="shared" si="39"/>
        <v>80</v>
      </c>
      <c r="S152" s="5">
        <f t="shared" si="40"/>
        <v>7.9</v>
      </c>
      <c r="T152" s="5">
        <f t="shared" si="41"/>
        <v>10</v>
      </c>
      <c r="U152" s="5">
        <f t="shared" si="42"/>
        <v>0</v>
      </c>
      <c r="V152" s="5">
        <f t="shared" si="43"/>
        <v>-4.0000000000000036E-2</v>
      </c>
      <c r="W152" s="5">
        <f t="shared" si="44"/>
        <v>0</v>
      </c>
      <c r="X152" s="5">
        <f t="shared" si="45"/>
        <v>1.0000000000000675E-2</v>
      </c>
      <c r="Y152" s="5">
        <f t="shared" si="46"/>
        <v>-1.6999999999999993</v>
      </c>
    </row>
    <row r="153" spans="1:25" x14ac:dyDescent="0.3">
      <c r="A153" s="1">
        <v>151</v>
      </c>
      <c r="B153" s="1" t="s">
        <v>161</v>
      </c>
      <c r="C153" s="2" t="s">
        <v>10</v>
      </c>
      <c r="D153" s="2">
        <v>0.5</v>
      </c>
      <c r="E153" s="2">
        <v>3</v>
      </c>
      <c r="F153" s="2">
        <v>100</v>
      </c>
      <c r="G153" s="2">
        <v>25</v>
      </c>
      <c r="H153" s="2">
        <v>90</v>
      </c>
      <c r="I153" s="4">
        <f t="shared" si="32"/>
        <v>0.5</v>
      </c>
      <c r="J153" s="4">
        <f t="shared" si="33"/>
        <v>3</v>
      </c>
      <c r="K153" s="4">
        <f t="shared" si="33"/>
        <v>100</v>
      </c>
      <c r="L153" s="4">
        <f t="shared" si="33"/>
        <v>25</v>
      </c>
      <c r="M153" s="4">
        <f t="shared" si="34"/>
        <v>90</v>
      </c>
      <c r="N153" s="3">
        <f t="shared" si="35"/>
        <v>50</v>
      </c>
      <c r="O153" s="3">
        <f t="shared" si="36"/>
        <v>300</v>
      </c>
      <c r="P153" s="5">
        <f t="shared" si="37"/>
        <v>0.5</v>
      </c>
      <c r="Q153" s="5">
        <f t="shared" si="38"/>
        <v>3</v>
      </c>
      <c r="R153" s="5">
        <f t="shared" si="39"/>
        <v>100</v>
      </c>
      <c r="S153" s="5">
        <f t="shared" si="40"/>
        <v>25</v>
      </c>
      <c r="T153" s="5">
        <f t="shared" si="41"/>
        <v>90</v>
      </c>
      <c r="U153" s="5">
        <f t="shared" si="42"/>
        <v>0</v>
      </c>
      <c r="V153" s="5">
        <f t="shared" si="43"/>
        <v>0</v>
      </c>
      <c r="W153" s="5">
        <f t="shared" si="44"/>
        <v>0</v>
      </c>
      <c r="X153" s="5">
        <f t="shared" si="45"/>
        <v>0</v>
      </c>
      <c r="Y153" s="5">
        <f t="shared" si="46"/>
        <v>0</v>
      </c>
    </row>
    <row r="154" spans="1:25" x14ac:dyDescent="0.3">
      <c r="A154" s="1">
        <v>152</v>
      </c>
      <c r="B154" s="1" t="s">
        <v>162</v>
      </c>
      <c r="C154" s="2" t="s">
        <v>12</v>
      </c>
      <c r="D154" s="2">
        <v>0.42</v>
      </c>
      <c r="E154" s="2">
        <v>2.9</v>
      </c>
      <c r="F154" s="2">
        <v>26.1</v>
      </c>
      <c r="G154" s="2">
        <v>16.2</v>
      </c>
      <c r="H154" s="2">
        <v>89</v>
      </c>
      <c r="I154" s="4">
        <f t="shared" si="32"/>
        <v>0.42</v>
      </c>
      <c r="J154" s="4">
        <f t="shared" si="33"/>
        <v>2.9</v>
      </c>
      <c r="K154" s="4">
        <f t="shared" si="33"/>
        <v>26.1</v>
      </c>
      <c r="L154" s="4">
        <f t="shared" si="33"/>
        <v>16.2</v>
      </c>
      <c r="M154" s="4">
        <f t="shared" si="34"/>
        <v>90</v>
      </c>
      <c r="N154" s="3">
        <f t="shared" si="35"/>
        <v>11</v>
      </c>
      <c r="O154" s="3">
        <f t="shared" si="36"/>
        <v>75.7</v>
      </c>
      <c r="P154" s="5">
        <f t="shared" si="37"/>
        <v>0.42145593869731801</v>
      </c>
      <c r="Q154" s="5">
        <f t="shared" si="38"/>
        <v>2.9003831417624522</v>
      </c>
      <c r="R154" s="5">
        <f t="shared" si="39"/>
        <v>26.1</v>
      </c>
      <c r="S154" s="5">
        <f t="shared" si="40"/>
        <v>16.2</v>
      </c>
      <c r="T154" s="5">
        <f t="shared" si="41"/>
        <v>90</v>
      </c>
      <c r="U154" s="5">
        <f t="shared" si="42"/>
        <v>1.4559386973180266E-3</v>
      </c>
      <c r="V154" s="5">
        <f t="shared" si="43"/>
        <v>3.8314176245224374E-4</v>
      </c>
      <c r="W154" s="5">
        <f t="shared" si="44"/>
        <v>0</v>
      </c>
      <c r="X154" s="5">
        <f t="shared" si="45"/>
        <v>0</v>
      </c>
      <c r="Y154" s="5">
        <f t="shared" si="46"/>
        <v>1</v>
      </c>
    </row>
    <row r="155" spans="1:25" x14ac:dyDescent="0.3">
      <c r="A155" s="1">
        <v>153</v>
      </c>
      <c r="B155" s="1" t="s">
        <v>163</v>
      </c>
      <c r="C155" s="2" t="s">
        <v>12</v>
      </c>
      <c r="D155" s="2">
        <v>0.31</v>
      </c>
      <c r="E155" s="2">
        <v>1.56</v>
      </c>
      <c r="F155" s="2">
        <v>74.7</v>
      </c>
      <c r="G155" s="2">
        <v>17</v>
      </c>
      <c r="H155" s="2">
        <v>82.7</v>
      </c>
      <c r="I155" s="4">
        <f t="shared" si="32"/>
        <v>0.31</v>
      </c>
      <c r="J155" s="4">
        <f t="shared" si="33"/>
        <v>1.6</v>
      </c>
      <c r="K155" s="4">
        <f t="shared" si="33"/>
        <v>74.7</v>
      </c>
      <c r="L155" s="4">
        <f t="shared" si="33"/>
        <v>17</v>
      </c>
      <c r="M155" s="4">
        <f t="shared" si="34"/>
        <v>85</v>
      </c>
      <c r="N155" s="3">
        <f t="shared" si="35"/>
        <v>23.2</v>
      </c>
      <c r="O155" s="3">
        <f t="shared" si="36"/>
        <v>119.5</v>
      </c>
      <c r="P155" s="5">
        <f t="shared" si="37"/>
        <v>0.31057563587684067</v>
      </c>
      <c r="Q155" s="5">
        <f t="shared" si="38"/>
        <v>1.5997322623828647</v>
      </c>
      <c r="R155" s="5">
        <f t="shared" si="39"/>
        <v>74.7</v>
      </c>
      <c r="S155" s="5">
        <f t="shared" si="40"/>
        <v>17</v>
      </c>
      <c r="T155" s="5">
        <f t="shared" si="41"/>
        <v>85</v>
      </c>
      <c r="U155" s="5">
        <f t="shared" si="42"/>
        <v>5.7563587684067441E-4</v>
      </c>
      <c r="V155" s="5">
        <f t="shared" si="43"/>
        <v>3.9732262382864647E-2</v>
      </c>
      <c r="W155" s="5">
        <f t="shared" si="44"/>
        <v>0</v>
      </c>
      <c r="X155" s="5">
        <f t="shared" si="45"/>
        <v>0</v>
      </c>
      <c r="Y155" s="5">
        <f t="shared" si="46"/>
        <v>2.2999999999999972</v>
      </c>
    </row>
    <row r="156" spans="1:25" x14ac:dyDescent="0.3">
      <c r="A156" s="1">
        <v>154</v>
      </c>
      <c r="B156" s="1" t="s">
        <v>164</v>
      </c>
      <c r="C156" s="2" t="s">
        <v>12</v>
      </c>
      <c r="D156" s="2">
        <v>0.36</v>
      </c>
      <c r="E156" s="2">
        <v>2.5299999999999998</v>
      </c>
      <c r="F156" s="2">
        <v>71</v>
      </c>
      <c r="G156" s="2">
        <v>13.2</v>
      </c>
      <c r="H156" s="2">
        <v>7.29</v>
      </c>
      <c r="I156" s="4">
        <f t="shared" si="32"/>
        <v>0.36</v>
      </c>
      <c r="J156" s="4">
        <f t="shared" si="33"/>
        <v>2.5</v>
      </c>
      <c r="K156" s="4">
        <f t="shared" si="33"/>
        <v>71</v>
      </c>
      <c r="L156" s="4">
        <f t="shared" si="33"/>
        <v>13.2</v>
      </c>
      <c r="M156" s="4">
        <f t="shared" si="34"/>
        <v>5</v>
      </c>
      <c r="N156" s="3">
        <f t="shared" si="35"/>
        <v>25.6</v>
      </c>
      <c r="O156" s="3">
        <f t="shared" si="36"/>
        <v>177.5</v>
      </c>
      <c r="P156" s="5">
        <f t="shared" si="37"/>
        <v>0.36056338028169016</v>
      </c>
      <c r="Q156" s="5">
        <f t="shared" si="38"/>
        <v>2.5</v>
      </c>
      <c r="R156" s="5">
        <f t="shared" si="39"/>
        <v>71</v>
      </c>
      <c r="S156" s="5">
        <f t="shared" si="40"/>
        <v>13.2</v>
      </c>
      <c r="T156" s="5">
        <f t="shared" si="41"/>
        <v>5</v>
      </c>
      <c r="U156" s="5">
        <f t="shared" si="42"/>
        <v>5.633802816901734E-4</v>
      </c>
      <c r="V156" s="5">
        <f t="shared" si="43"/>
        <v>-2.9999999999999805E-2</v>
      </c>
      <c r="W156" s="5">
        <f t="shared" si="44"/>
        <v>0</v>
      </c>
      <c r="X156" s="5">
        <f t="shared" si="45"/>
        <v>0</v>
      </c>
      <c r="Y156" s="5">
        <f t="shared" si="46"/>
        <v>-2.29</v>
      </c>
    </row>
    <row r="157" spans="1:25" x14ac:dyDescent="0.3">
      <c r="A157" s="1">
        <v>155</v>
      </c>
      <c r="B157" s="1" t="s">
        <v>165</v>
      </c>
      <c r="C157" s="2" t="s">
        <v>12</v>
      </c>
      <c r="D157" s="2">
        <v>0.5</v>
      </c>
      <c r="E157" s="2">
        <v>2.98</v>
      </c>
      <c r="F157" s="2">
        <v>58.9</v>
      </c>
      <c r="G157" s="2">
        <v>10.8</v>
      </c>
      <c r="H157" s="2">
        <v>25.2</v>
      </c>
      <c r="I157" s="4">
        <f t="shared" si="32"/>
        <v>0.5</v>
      </c>
      <c r="J157" s="4">
        <f t="shared" si="33"/>
        <v>3</v>
      </c>
      <c r="K157" s="4">
        <f t="shared" si="33"/>
        <v>58.9</v>
      </c>
      <c r="L157" s="4">
        <f t="shared" si="33"/>
        <v>10.8</v>
      </c>
      <c r="M157" s="4">
        <f t="shared" si="34"/>
        <v>25</v>
      </c>
      <c r="N157" s="3">
        <f t="shared" si="35"/>
        <v>29.5</v>
      </c>
      <c r="O157" s="3">
        <f t="shared" si="36"/>
        <v>176.7</v>
      </c>
      <c r="P157" s="5">
        <f t="shared" si="37"/>
        <v>0.50084889643463504</v>
      </c>
      <c r="Q157" s="5">
        <f t="shared" si="38"/>
        <v>3</v>
      </c>
      <c r="R157" s="5">
        <f t="shared" si="39"/>
        <v>58.9</v>
      </c>
      <c r="S157" s="5">
        <f t="shared" si="40"/>
        <v>10.8</v>
      </c>
      <c r="T157" s="5">
        <f t="shared" si="41"/>
        <v>25</v>
      </c>
      <c r="U157" s="5">
        <f t="shared" si="42"/>
        <v>8.4889643463503806E-4</v>
      </c>
      <c r="V157" s="5">
        <f t="shared" si="43"/>
        <v>2.0000000000000018E-2</v>
      </c>
      <c r="W157" s="5">
        <f t="shared" si="44"/>
        <v>0</v>
      </c>
      <c r="X157" s="5">
        <f t="shared" si="45"/>
        <v>0</v>
      </c>
      <c r="Y157" s="5">
        <f t="shared" si="46"/>
        <v>-0.19999999999999929</v>
      </c>
    </row>
    <row r="158" spans="1:25" x14ac:dyDescent="0.3">
      <c r="A158" s="1">
        <v>156</v>
      </c>
      <c r="B158" s="1" t="s">
        <v>166</v>
      </c>
      <c r="C158" s="2" t="s">
        <v>12</v>
      </c>
      <c r="D158" s="2">
        <v>0.21</v>
      </c>
      <c r="E158" s="2">
        <v>1.49</v>
      </c>
      <c r="F158" s="2">
        <v>20.100000000000001</v>
      </c>
      <c r="G158" s="2">
        <v>18.899999999999999</v>
      </c>
      <c r="H158" s="2">
        <v>44.8</v>
      </c>
      <c r="I158" s="4">
        <f t="shared" si="32"/>
        <v>0.21</v>
      </c>
      <c r="J158" s="4">
        <f t="shared" si="33"/>
        <v>1.5</v>
      </c>
      <c r="K158" s="4">
        <f t="shared" si="33"/>
        <v>20.100000000000001</v>
      </c>
      <c r="L158" s="4">
        <f t="shared" si="33"/>
        <v>18.899999999999999</v>
      </c>
      <c r="M158" s="4">
        <f t="shared" si="34"/>
        <v>45</v>
      </c>
      <c r="N158" s="3">
        <f t="shared" si="35"/>
        <v>4.2</v>
      </c>
      <c r="O158" s="3">
        <f t="shared" si="36"/>
        <v>30.2</v>
      </c>
      <c r="P158" s="5">
        <f t="shared" si="37"/>
        <v>0.20895522388059701</v>
      </c>
      <c r="Q158" s="5">
        <f t="shared" si="38"/>
        <v>1.5024875621890545</v>
      </c>
      <c r="R158" s="5">
        <f t="shared" si="39"/>
        <v>20.100000000000001</v>
      </c>
      <c r="S158" s="5">
        <f t="shared" si="40"/>
        <v>18.899999999999999</v>
      </c>
      <c r="T158" s="5">
        <f t="shared" si="41"/>
        <v>45</v>
      </c>
      <c r="U158" s="5">
        <f t="shared" si="42"/>
        <v>-1.0447761194029848E-3</v>
      </c>
      <c r="V158" s="5">
        <f t="shared" si="43"/>
        <v>1.2487562189054557E-2</v>
      </c>
      <c r="W158" s="5">
        <f t="shared" si="44"/>
        <v>0</v>
      </c>
      <c r="X158" s="5">
        <f t="shared" si="45"/>
        <v>0</v>
      </c>
      <c r="Y158" s="5">
        <f t="shared" si="46"/>
        <v>0.20000000000000284</v>
      </c>
    </row>
    <row r="159" spans="1:25" x14ac:dyDescent="0.3">
      <c r="A159" s="1">
        <v>157</v>
      </c>
      <c r="B159" s="1" t="s">
        <v>167</v>
      </c>
      <c r="C159" s="2" t="s">
        <v>12</v>
      </c>
      <c r="D159" s="2">
        <v>0.34</v>
      </c>
      <c r="E159" s="2">
        <v>1.89</v>
      </c>
      <c r="F159" s="2">
        <v>19.7</v>
      </c>
      <c r="G159" s="2">
        <v>22.8</v>
      </c>
      <c r="H159" s="2">
        <v>28.4</v>
      </c>
      <c r="I159" s="4">
        <f t="shared" si="32"/>
        <v>0.34</v>
      </c>
      <c r="J159" s="4">
        <f t="shared" si="33"/>
        <v>1.9</v>
      </c>
      <c r="K159" s="4">
        <f t="shared" si="33"/>
        <v>19.7</v>
      </c>
      <c r="L159" s="4">
        <f t="shared" si="33"/>
        <v>22.8</v>
      </c>
      <c r="M159" s="4">
        <f t="shared" si="34"/>
        <v>30</v>
      </c>
      <c r="N159" s="3">
        <f t="shared" si="35"/>
        <v>6.7</v>
      </c>
      <c r="O159" s="3">
        <f t="shared" si="36"/>
        <v>37.4</v>
      </c>
      <c r="P159" s="5">
        <f t="shared" si="37"/>
        <v>0.34010152284263961</v>
      </c>
      <c r="Q159" s="5">
        <f t="shared" si="38"/>
        <v>1.898477157360406</v>
      </c>
      <c r="R159" s="5">
        <f t="shared" si="39"/>
        <v>19.7</v>
      </c>
      <c r="S159" s="5">
        <f t="shared" si="40"/>
        <v>22.8</v>
      </c>
      <c r="T159" s="5">
        <f t="shared" si="41"/>
        <v>30</v>
      </c>
      <c r="U159" s="5">
        <f t="shared" si="42"/>
        <v>1.0152284263958977E-4</v>
      </c>
      <c r="V159" s="5">
        <f t="shared" si="43"/>
        <v>8.4771573604061068E-3</v>
      </c>
      <c r="W159" s="5">
        <f t="shared" si="44"/>
        <v>0</v>
      </c>
      <c r="X159" s="5">
        <f t="shared" si="45"/>
        <v>0</v>
      </c>
      <c r="Y159" s="5">
        <f t="shared" si="46"/>
        <v>1.6000000000000014</v>
      </c>
    </row>
    <row r="160" spans="1:25" x14ac:dyDescent="0.3">
      <c r="A160" s="1">
        <v>158</v>
      </c>
      <c r="B160" s="1" t="s">
        <v>168</v>
      </c>
      <c r="C160" s="2" t="s">
        <v>10</v>
      </c>
      <c r="D160" s="2">
        <v>0.1</v>
      </c>
      <c r="E160" s="2">
        <v>1</v>
      </c>
      <c r="F160" s="2">
        <v>10</v>
      </c>
      <c r="G160" s="2">
        <v>5</v>
      </c>
      <c r="H160" s="2">
        <v>90</v>
      </c>
      <c r="I160" s="4">
        <f t="shared" si="32"/>
        <v>0.1</v>
      </c>
      <c r="J160" s="4">
        <f t="shared" si="33"/>
        <v>1</v>
      </c>
      <c r="K160" s="4">
        <f t="shared" si="33"/>
        <v>10</v>
      </c>
      <c r="L160" s="4">
        <f t="shared" si="33"/>
        <v>5</v>
      </c>
      <c r="M160" s="4">
        <f t="shared" si="34"/>
        <v>90</v>
      </c>
      <c r="N160" s="3">
        <f t="shared" si="35"/>
        <v>1</v>
      </c>
      <c r="O160" s="3">
        <f t="shared" si="36"/>
        <v>10</v>
      </c>
      <c r="P160" s="5">
        <f t="shared" si="37"/>
        <v>0.1</v>
      </c>
      <c r="Q160" s="5">
        <f t="shared" si="38"/>
        <v>1</v>
      </c>
      <c r="R160" s="5">
        <f t="shared" si="39"/>
        <v>10</v>
      </c>
      <c r="S160" s="5">
        <f t="shared" si="40"/>
        <v>5</v>
      </c>
      <c r="T160" s="5">
        <f t="shared" si="41"/>
        <v>90</v>
      </c>
      <c r="U160" s="5">
        <f t="shared" si="42"/>
        <v>0</v>
      </c>
      <c r="V160" s="5">
        <f t="shared" si="43"/>
        <v>0</v>
      </c>
      <c r="W160" s="5">
        <f t="shared" si="44"/>
        <v>0</v>
      </c>
      <c r="X160" s="5">
        <f t="shared" si="45"/>
        <v>0</v>
      </c>
      <c r="Y160" s="5">
        <f t="shared" si="46"/>
        <v>0</v>
      </c>
    </row>
    <row r="161" spans="1:25" x14ac:dyDescent="0.3">
      <c r="A161" s="1">
        <v>159</v>
      </c>
      <c r="B161" t="s">
        <v>169</v>
      </c>
      <c r="C161" t="s">
        <v>170</v>
      </c>
      <c r="D161">
        <v>0.22</v>
      </c>
      <c r="E161">
        <v>2.4</v>
      </c>
      <c r="F161">
        <v>36.1</v>
      </c>
      <c r="G161">
        <v>10.8</v>
      </c>
      <c r="H161">
        <v>65</v>
      </c>
      <c r="I161" s="4">
        <f t="shared" ref="I161:I223" si="47">D161</f>
        <v>0.22</v>
      </c>
      <c r="J161" s="4">
        <f t="shared" ref="J161:J223" si="48">ROUND(E161,1)</f>
        <v>2.4</v>
      </c>
      <c r="K161" s="4">
        <f t="shared" ref="K161:K223" si="49">ROUND(F161,1)</f>
        <v>36.1</v>
      </c>
      <c r="L161" s="4">
        <f t="shared" ref="L161:L223" si="50">ROUND(G161,1)</f>
        <v>10.8</v>
      </c>
      <c r="M161" s="4">
        <f t="shared" si="34"/>
        <v>65</v>
      </c>
      <c r="N161" s="3">
        <f t="shared" si="35"/>
        <v>7.9</v>
      </c>
      <c r="O161" s="3">
        <f t="shared" si="36"/>
        <v>86.6</v>
      </c>
      <c r="P161" s="5">
        <f t="shared" si="37"/>
        <v>0.2188365650969529</v>
      </c>
      <c r="Q161" s="5">
        <f t="shared" si="38"/>
        <v>2.3988919667590025</v>
      </c>
      <c r="R161" s="5">
        <f t="shared" si="39"/>
        <v>36.1</v>
      </c>
      <c r="S161" s="5">
        <f t="shared" si="40"/>
        <v>10.8</v>
      </c>
      <c r="T161" s="5">
        <f t="shared" si="41"/>
        <v>65</v>
      </c>
      <c r="U161" s="5">
        <f t="shared" si="42"/>
        <v>-1.1634349030471003E-3</v>
      </c>
      <c r="V161" s="5">
        <f t="shared" si="43"/>
        <v>-1.108033240997397E-3</v>
      </c>
      <c r="W161" s="5">
        <f t="shared" si="44"/>
        <v>0</v>
      </c>
      <c r="X161" s="5">
        <f t="shared" si="45"/>
        <v>0</v>
      </c>
      <c r="Y161" s="5">
        <f t="shared" si="46"/>
        <v>0</v>
      </c>
    </row>
    <row r="162" spans="1:25" x14ac:dyDescent="0.3">
      <c r="A162" s="1">
        <v>160</v>
      </c>
      <c r="B162" t="s">
        <v>171</v>
      </c>
      <c r="C162" t="s">
        <v>170</v>
      </c>
      <c r="D162">
        <v>0.38</v>
      </c>
      <c r="E162">
        <v>1.6</v>
      </c>
      <c r="F162">
        <v>73.900000000000006</v>
      </c>
      <c r="G162">
        <v>19.2</v>
      </c>
      <c r="H162">
        <v>65</v>
      </c>
      <c r="I162" s="4">
        <f t="shared" si="47"/>
        <v>0.38</v>
      </c>
      <c r="J162" s="4">
        <f t="shared" si="48"/>
        <v>1.6</v>
      </c>
      <c r="K162" s="4">
        <f t="shared" si="49"/>
        <v>73.900000000000006</v>
      </c>
      <c r="L162" s="4">
        <f t="shared" si="50"/>
        <v>19.2</v>
      </c>
      <c r="M162" s="4">
        <f t="shared" si="34"/>
        <v>65</v>
      </c>
      <c r="N162" s="3">
        <f t="shared" si="35"/>
        <v>28.1</v>
      </c>
      <c r="O162" s="3">
        <f t="shared" si="36"/>
        <v>118.2</v>
      </c>
      <c r="P162" s="5">
        <f t="shared" si="37"/>
        <v>0.38024357239512852</v>
      </c>
      <c r="Q162" s="5">
        <f t="shared" si="38"/>
        <v>1.5994587280108254</v>
      </c>
      <c r="R162" s="5">
        <f t="shared" si="39"/>
        <v>73.900000000000006</v>
      </c>
      <c r="S162" s="5">
        <f t="shared" si="40"/>
        <v>19.2</v>
      </c>
      <c r="T162" s="5">
        <f t="shared" si="41"/>
        <v>65</v>
      </c>
      <c r="U162" s="5">
        <f t="shared" si="42"/>
        <v>2.435723951285107E-4</v>
      </c>
      <c r="V162" s="5">
        <f t="shared" si="43"/>
        <v>-5.4127198917464092E-4</v>
      </c>
      <c r="W162" s="5">
        <f t="shared" si="44"/>
        <v>0</v>
      </c>
      <c r="X162" s="5">
        <f t="shared" si="45"/>
        <v>0</v>
      </c>
      <c r="Y162" s="5">
        <f t="shared" si="46"/>
        <v>0</v>
      </c>
    </row>
    <row r="163" spans="1:25" x14ac:dyDescent="0.3">
      <c r="A163" s="1">
        <v>161</v>
      </c>
      <c r="B163" t="s">
        <v>172</v>
      </c>
      <c r="C163" t="s">
        <v>170</v>
      </c>
      <c r="D163">
        <v>0.39</v>
      </c>
      <c r="E163">
        <v>2.4</v>
      </c>
      <c r="F163">
        <v>36.1</v>
      </c>
      <c r="G163">
        <v>10.8</v>
      </c>
      <c r="H163">
        <v>65</v>
      </c>
      <c r="I163" s="4">
        <f t="shared" si="47"/>
        <v>0.39</v>
      </c>
      <c r="J163" s="4">
        <f t="shared" si="48"/>
        <v>2.4</v>
      </c>
      <c r="K163" s="4">
        <f t="shared" si="49"/>
        <v>36.1</v>
      </c>
      <c r="L163" s="4">
        <f t="shared" si="50"/>
        <v>10.8</v>
      </c>
      <c r="M163" s="4">
        <f t="shared" si="34"/>
        <v>65</v>
      </c>
      <c r="N163" s="3">
        <f t="shared" si="35"/>
        <v>14.1</v>
      </c>
      <c r="O163" s="3">
        <f t="shared" si="36"/>
        <v>86.6</v>
      </c>
      <c r="P163" s="5">
        <f t="shared" si="37"/>
        <v>0.39058171745152354</v>
      </c>
      <c r="Q163" s="5">
        <f t="shared" si="38"/>
        <v>2.3988919667590025</v>
      </c>
      <c r="R163" s="5">
        <f t="shared" si="39"/>
        <v>36.1</v>
      </c>
      <c r="S163" s="5">
        <f t="shared" si="40"/>
        <v>10.8</v>
      </c>
      <c r="T163" s="5">
        <f t="shared" si="41"/>
        <v>65</v>
      </c>
      <c r="U163" s="5">
        <f t="shared" si="42"/>
        <v>5.8171745152352239E-4</v>
      </c>
      <c r="V163" s="5">
        <f t="shared" si="43"/>
        <v>-1.108033240997397E-3</v>
      </c>
      <c r="W163" s="5">
        <f t="shared" si="44"/>
        <v>0</v>
      </c>
      <c r="X163" s="5">
        <f t="shared" si="45"/>
        <v>0</v>
      </c>
      <c r="Y163" s="5">
        <f t="shared" si="46"/>
        <v>0</v>
      </c>
    </row>
    <row r="164" spans="1:25" x14ac:dyDescent="0.3">
      <c r="A164" s="1">
        <v>162</v>
      </c>
      <c r="B164" t="s">
        <v>173</v>
      </c>
      <c r="C164" t="s">
        <v>170</v>
      </c>
      <c r="D164">
        <v>0.22</v>
      </c>
      <c r="E164">
        <v>1.6</v>
      </c>
      <c r="F164">
        <v>36.1</v>
      </c>
      <c r="G164">
        <v>19.2</v>
      </c>
      <c r="H164">
        <v>65</v>
      </c>
      <c r="I164" s="4">
        <f t="shared" si="47"/>
        <v>0.22</v>
      </c>
      <c r="J164" s="4">
        <f t="shared" si="48"/>
        <v>1.6</v>
      </c>
      <c r="K164" s="4">
        <f t="shared" si="49"/>
        <v>36.1</v>
      </c>
      <c r="L164" s="4">
        <f t="shared" si="50"/>
        <v>19.2</v>
      </c>
      <c r="M164" s="4">
        <f t="shared" si="34"/>
        <v>65</v>
      </c>
      <c r="N164" s="3">
        <f t="shared" si="35"/>
        <v>7.9</v>
      </c>
      <c r="O164" s="3">
        <f t="shared" si="36"/>
        <v>57.8</v>
      </c>
      <c r="P164" s="5">
        <f t="shared" si="37"/>
        <v>0.2188365650969529</v>
      </c>
      <c r="Q164" s="5">
        <f t="shared" si="38"/>
        <v>1.601108033240997</v>
      </c>
      <c r="R164" s="5">
        <f t="shared" si="39"/>
        <v>36.1</v>
      </c>
      <c r="S164" s="5">
        <f t="shared" si="40"/>
        <v>19.2</v>
      </c>
      <c r="T164" s="5">
        <f t="shared" si="41"/>
        <v>65</v>
      </c>
      <c r="U164" s="5">
        <f t="shared" si="42"/>
        <v>-1.1634349030471003E-3</v>
      </c>
      <c r="V164" s="5">
        <f t="shared" si="43"/>
        <v>1.1080332409969529E-3</v>
      </c>
      <c r="W164" s="5">
        <f t="shared" si="44"/>
        <v>0</v>
      </c>
      <c r="X164" s="5">
        <f t="shared" si="45"/>
        <v>0</v>
      </c>
      <c r="Y164" s="5">
        <f t="shared" si="46"/>
        <v>0</v>
      </c>
    </row>
    <row r="165" spans="1:25" x14ac:dyDescent="0.3">
      <c r="A165" s="1">
        <v>163</v>
      </c>
      <c r="B165" t="s">
        <v>174</v>
      </c>
      <c r="C165" t="s">
        <v>170</v>
      </c>
      <c r="D165">
        <v>0.38</v>
      </c>
      <c r="E165">
        <v>1.6</v>
      </c>
      <c r="F165">
        <v>73.900000000000006</v>
      </c>
      <c r="G165">
        <v>10.8</v>
      </c>
      <c r="H165">
        <v>65</v>
      </c>
      <c r="I165" s="4">
        <f t="shared" si="47"/>
        <v>0.38</v>
      </c>
      <c r="J165" s="4">
        <f t="shared" si="48"/>
        <v>1.6</v>
      </c>
      <c r="K165" s="4">
        <f t="shared" si="49"/>
        <v>73.900000000000006</v>
      </c>
      <c r="L165" s="4">
        <f t="shared" si="50"/>
        <v>10.8</v>
      </c>
      <c r="M165" s="4">
        <f t="shared" si="34"/>
        <v>65</v>
      </c>
      <c r="N165" s="3">
        <f t="shared" si="35"/>
        <v>28.1</v>
      </c>
      <c r="O165" s="3">
        <f t="shared" si="36"/>
        <v>118.2</v>
      </c>
      <c r="P165" s="5">
        <f t="shared" si="37"/>
        <v>0.38024357239512852</v>
      </c>
      <c r="Q165" s="5">
        <f t="shared" si="38"/>
        <v>1.5994587280108254</v>
      </c>
      <c r="R165" s="5">
        <f t="shared" si="39"/>
        <v>73.900000000000006</v>
      </c>
      <c r="S165" s="5">
        <f t="shared" si="40"/>
        <v>10.8</v>
      </c>
      <c r="T165" s="5">
        <f t="shared" si="41"/>
        <v>65</v>
      </c>
      <c r="U165" s="5">
        <f t="shared" si="42"/>
        <v>2.435723951285107E-4</v>
      </c>
      <c r="V165" s="5">
        <f t="shared" si="43"/>
        <v>-5.4127198917464092E-4</v>
      </c>
      <c r="W165" s="5">
        <f t="shared" si="44"/>
        <v>0</v>
      </c>
      <c r="X165" s="5">
        <f t="shared" si="45"/>
        <v>0</v>
      </c>
      <c r="Y165" s="5">
        <f t="shared" si="46"/>
        <v>0</v>
      </c>
    </row>
    <row r="166" spans="1:25" x14ac:dyDescent="0.3">
      <c r="A166" s="1">
        <v>164</v>
      </c>
      <c r="B166" t="s">
        <v>175</v>
      </c>
      <c r="C166" t="s">
        <v>170</v>
      </c>
      <c r="D166">
        <v>0.3</v>
      </c>
      <c r="E166">
        <v>2</v>
      </c>
      <c r="F166">
        <v>55</v>
      </c>
      <c r="G166">
        <v>5</v>
      </c>
      <c r="H166">
        <v>45</v>
      </c>
      <c r="I166" s="4">
        <f t="shared" si="47"/>
        <v>0.3</v>
      </c>
      <c r="J166" s="4">
        <f t="shared" si="48"/>
        <v>2</v>
      </c>
      <c r="K166" s="4">
        <f t="shared" si="49"/>
        <v>55</v>
      </c>
      <c r="L166" s="4">
        <f t="shared" si="50"/>
        <v>5</v>
      </c>
      <c r="M166" s="4">
        <f t="shared" si="34"/>
        <v>45</v>
      </c>
      <c r="N166" s="3">
        <f t="shared" si="35"/>
        <v>16.5</v>
      </c>
      <c r="O166" s="3">
        <f t="shared" si="36"/>
        <v>110</v>
      </c>
      <c r="P166" s="5">
        <f t="shared" si="37"/>
        <v>0.3</v>
      </c>
      <c r="Q166" s="5">
        <f t="shared" si="38"/>
        <v>2</v>
      </c>
      <c r="R166" s="5">
        <f t="shared" si="39"/>
        <v>55</v>
      </c>
      <c r="S166" s="5">
        <f t="shared" si="40"/>
        <v>5</v>
      </c>
      <c r="T166" s="5">
        <f t="shared" si="41"/>
        <v>45</v>
      </c>
      <c r="U166" s="5">
        <f t="shared" si="42"/>
        <v>0</v>
      </c>
      <c r="V166" s="5">
        <f t="shared" si="43"/>
        <v>0</v>
      </c>
      <c r="W166" s="5">
        <f t="shared" si="44"/>
        <v>0</v>
      </c>
      <c r="X166" s="5">
        <f t="shared" si="45"/>
        <v>0</v>
      </c>
      <c r="Y166" s="5">
        <f t="shared" si="46"/>
        <v>0</v>
      </c>
    </row>
    <row r="167" spans="1:25" x14ac:dyDescent="0.3">
      <c r="A167" s="1">
        <v>165</v>
      </c>
      <c r="B167" t="s">
        <v>176</v>
      </c>
      <c r="C167" t="s">
        <v>170</v>
      </c>
      <c r="D167">
        <v>0.39</v>
      </c>
      <c r="E167">
        <v>1.6</v>
      </c>
      <c r="F167">
        <v>36.1</v>
      </c>
      <c r="G167">
        <v>10.8</v>
      </c>
      <c r="H167">
        <v>25</v>
      </c>
      <c r="I167" s="4">
        <f t="shared" si="47"/>
        <v>0.39</v>
      </c>
      <c r="J167" s="4">
        <f t="shared" si="48"/>
        <v>1.6</v>
      </c>
      <c r="K167" s="4">
        <f t="shared" si="49"/>
        <v>36.1</v>
      </c>
      <c r="L167" s="4">
        <f t="shared" si="50"/>
        <v>10.8</v>
      </c>
      <c r="M167" s="4">
        <f t="shared" si="34"/>
        <v>25</v>
      </c>
      <c r="N167" s="3">
        <f t="shared" si="35"/>
        <v>14.1</v>
      </c>
      <c r="O167" s="3">
        <f t="shared" si="36"/>
        <v>57.8</v>
      </c>
      <c r="P167" s="5">
        <f t="shared" si="37"/>
        <v>0.39058171745152354</v>
      </c>
      <c r="Q167" s="5">
        <f t="shared" si="38"/>
        <v>1.601108033240997</v>
      </c>
      <c r="R167" s="5">
        <f t="shared" si="39"/>
        <v>36.1</v>
      </c>
      <c r="S167" s="5">
        <f t="shared" si="40"/>
        <v>10.8</v>
      </c>
      <c r="T167" s="5">
        <f t="shared" si="41"/>
        <v>25</v>
      </c>
      <c r="U167" s="5">
        <f t="shared" si="42"/>
        <v>5.8171745152352239E-4</v>
      </c>
      <c r="V167" s="5">
        <f t="shared" si="43"/>
        <v>1.1080332409969529E-3</v>
      </c>
      <c r="W167" s="5">
        <f t="shared" si="44"/>
        <v>0</v>
      </c>
      <c r="X167" s="5">
        <f t="shared" si="45"/>
        <v>0</v>
      </c>
      <c r="Y167" s="5">
        <f t="shared" si="46"/>
        <v>0</v>
      </c>
    </row>
    <row r="168" spans="1:25" x14ac:dyDescent="0.3">
      <c r="A168" s="1">
        <v>166</v>
      </c>
      <c r="B168" t="s">
        <v>177</v>
      </c>
      <c r="C168" t="s">
        <v>170</v>
      </c>
      <c r="D168">
        <v>0.3</v>
      </c>
      <c r="E168">
        <v>2</v>
      </c>
      <c r="F168">
        <v>55</v>
      </c>
      <c r="G168">
        <v>25</v>
      </c>
      <c r="H168">
        <v>45</v>
      </c>
      <c r="I168" s="4">
        <f t="shared" si="47"/>
        <v>0.3</v>
      </c>
      <c r="J168" s="4">
        <f t="shared" si="48"/>
        <v>2</v>
      </c>
      <c r="K168" s="4">
        <f t="shared" si="49"/>
        <v>55</v>
      </c>
      <c r="L168" s="4">
        <f t="shared" si="50"/>
        <v>25</v>
      </c>
      <c r="M168" s="4">
        <f t="shared" si="34"/>
        <v>45</v>
      </c>
      <c r="N168" s="3">
        <f t="shared" si="35"/>
        <v>16.5</v>
      </c>
      <c r="O168" s="3">
        <f t="shared" si="36"/>
        <v>110</v>
      </c>
      <c r="P168" s="5">
        <f t="shared" si="37"/>
        <v>0.3</v>
      </c>
      <c r="Q168" s="5">
        <f t="shared" si="38"/>
        <v>2</v>
      </c>
      <c r="R168" s="5">
        <f t="shared" si="39"/>
        <v>55</v>
      </c>
      <c r="S168" s="5">
        <f t="shared" si="40"/>
        <v>25</v>
      </c>
      <c r="T168" s="5">
        <f t="shared" si="41"/>
        <v>45</v>
      </c>
      <c r="U168" s="5">
        <f t="shared" si="42"/>
        <v>0</v>
      </c>
      <c r="V168" s="5">
        <f t="shared" si="43"/>
        <v>0</v>
      </c>
      <c r="W168" s="5">
        <f t="shared" si="44"/>
        <v>0</v>
      </c>
      <c r="X168" s="5">
        <f t="shared" si="45"/>
        <v>0</v>
      </c>
      <c r="Y168" s="5">
        <f t="shared" si="46"/>
        <v>0</v>
      </c>
    </row>
    <row r="169" spans="1:25" x14ac:dyDescent="0.3">
      <c r="A169" s="1">
        <v>167</v>
      </c>
      <c r="B169" t="s">
        <v>178</v>
      </c>
      <c r="C169" t="s">
        <v>170</v>
      </c>
      <c r="D169">
        <v>0.39</v>
      </c>
      <c r="E169">
        <v>1.6</v>
      </c>
      <c r="F169">
        <v>36.1</v>
      </c>
      <c r="G169">
        <v>19.2</v>
      </c>
      <c r="H169">
        <v>65</v>
      </c>
      <c r="I169" s="4">
        <f t="shared" si="47"/>
        <v>0.39</v>
      </c>
      <c r="J169" s="4">
        <f t="shared" si="48"/>
        <v>1.6</v>
      </c>
      <c r="K169" s="4">
        <f t="shared" si="49"/>
        <v>36.1</v>
      </c>
      <c r="L169" s="4">
        <f t="shared" si="50"/>
        <v>19.2</v>
      </c>
      <c r="M169" s="4">
        <f t="shared" si="34"/>
        <v>65</v>
      </c>
      <c r="N169" s="3">
        <f t="shared" si="35"/>
        <v>14.1</v>
      </c>
      <c r="O169" s="3">
        <f t="shared" si="36"/>
        <v>57.8</v>
      </c>
      <c r="P169" s="5">
        <f t="shared" si="37"/>
        <v>0.39058171745152354</v>
      </c>
      <c r="Q169" s="5">
        <f t="shared" si="38"/>
        <v>1.601108033240997</v>
      </c>
      <c r="R169" s="5">
        <f t="shared" si="39"/>
        <v>36.1</v>
      </c>
      <c r="S169" s="5">
        <f t="shared" si="40"/>
        <v>19.2</v>
      </c>
      <c r="T169" s="5">
        <f t="shared" si="41"/>
        <v>65</v>
      </c>
      <c r="U169" s="5">
        <f t="shared" si="42"/>
        <v>5.8171745152352239E-4</v>
      </c>
      <c r="V169" s="5">
        <f t="shared" si="43"/>
        <v>1.1080332409969529E-3</v>
      </c>
      <c r="W169" s="5">
        <f t="shared" si="44"/>
        <v>0</v>
      </c>
      <c r="X169" s="5">
        <f t="shared" si="45"/>
        <v>0</v>
      </c>
      <c r="Y169" s="5">
        <f t="shared" si="46"/>
        <v>0</v>
      </c>
    </row>
    <row r="170" spans="1:25" x14ac:dyDescent="0.3">
      <c r="A170" s="1">
        <v>168</v>
      </c>
      <c r="B170" t="s">
        <v>179</v>
      </c>
      <c r="C170" t="s">
        <v>170</v>
      </c>
      <c r="D170">
        <v>0.22</v>
      </c>
      <c r="E170">
        <v>2.4</v>
      </c>
      <c r="F170">
        <v>36.1</v>
      </c>
      <c r="G170">
        <v>19.2</v>
      </c>
      <c r="H170">
        <v>65</v>
      </c>
      <c r="I170" s="4">
        <f t="shared" si="47"/>
        <v>0.22</v>
      </c>
      <c r="J170" s="4">
        <f t="shared" si="48"/>
        <v>2.4</v>
      </c>
      <c r="K170" s="4">
        <f t="shared" si="49"/>
        <v>36.1</v>
      </c>
      <c r="L170" s="4">
        <f t="shared" si="50"/>
        <v>19.2</v>
      </c>
      <c r="M170" s="4">
        <f t="shared" si="34"/>
        <v>65</v>
      </c>
      <c r="N170" s="3">
        <f t="shared" si="35"/>
        <v>7.9</v>
      </c>
      <c r="O170" s="3">
        <f t="shared" si="36"/>
        <v>86.6</v>
      </c>
      <c r="P170" s="5">
        <f t="shared" si="37"/>
        <v>0.2188365650969529</v>
      </c>
      <c r="Q170" s="5">
        <f t="shared" si="38"/>
        <v>2.3988919667590025</v>
      </c>
      <c r="R170" s="5">
        <f t="shared" si="39"/>
        <v>36.1</v>
      </c>
      <c r="S170" s="5">
        <f t="shared" si="40"/>
        <v>19.2</v>
      </c>
      <c r="T170" s="5">
        <f t="shared" si="41"/>
        <v>65</v>
      </c>
      <c r="U170" s="5">
        <f t="shared" si="42"/>
        <v>-1.1634349030471003E-3</v>
      </c>
      <c r="V170" s="5">
        <f t="shared" si="43"/>
        <v>-1.108033240997397E-3</v>
      </c>
      <c r="W170" s="5">
        <f t="shared" si="44"/>
        <v>0</v>
      </c>
      <c r="X170" s="5">
        <f t="shared" si="45"/>
        <v>0</v>
      </c>
      <c r="Y170" s="5">
        <f t="shared" si="46"/>
        <v>0</v>
      </c>
    </row>
    <row r="171" spans="1:25" x14ac:dyDescent="0.3">
      <c r="A171" s="1">
        <v>169</v>
      </c>
      <c r="B171" t="s">
        <v>180</v>
      </c>
      <c r="C171" t="s">
        <v>170</v>
      </c>
      <c r="D171">
        <v>0.3</v>
      </c>
      <c r="E171">
        <v>2</v>
      </c>
      <c r="F171">
        <v>55</v>
      </c>
      <c r="G171">
        <v>15</v>
      </c>
      <c r="H171">
        <v>45</v>
      </c>
      <c r="I171" s="4">
        <f t="shared" si="47"/>
        <v>0.3</v>
      </c>
      <c r="J171" s="4">
        <f t="shared" si="48"/>
        <v>2</v>
      </c>
      <c r="K171" s="4">
        <f t="shared" si="49"/>
        <v>55</v>
      </c>
      <c r="L171" s="4">
        <f t="shared" si="50"/>
        <v>15</v>
      </c>
      <c r="M171" s="4">
        <f t="shared" si="34"/>
        <v>45</v>
      </c>
      <c r="N171" s="3">
        <f t="shared" si="35"/>
        <v>16.5</v>
      </c>
      <c r="O171" s="3">
        <f t="shared" si="36"/>
        <v>110</v>
      </c>
      <c r="P171" s="5">
        <f t="shared" si="37"/>
        <v>0.3</v>
      </c>
      <c r="Q171" s="5">
        <f t="shared" si="38"/>
        <v>2</v>
      </c>
      <c r="R171" s="5">
        <f t="shared" si="39"/>
        <v>55</v>
      </c>
      <c r="S171" s="5">
        <f t="shared" si="40"/>
        <v>15</v>
      </c>
      <c r="T171" s="5">
        <f t="shared" si="41"/>
        <v>45</v>
      </c>
      <c r="U171" s="5">
        <f t="shared" si="42"/>
        <v>0</v>
      </c>
      <c r="V171" s="5">
        <f t="shared" si="43"/>
        <v>0</v>
      </c>
      <c r="W171" s="5">
        <f t="shared" si="44"/>
        <v>0</v>
      </c>
      <c r="X171" s="5">
        <f t="shared" si="45"/>
        <v>0</v>
      </c>
      <c r="Y171" s="5">
        <f t="shared" si="46"/>
        <v>0</v>
      </c>
    </row>
    <row r="172" spans="1:25" x14ac:dyDescent="0.3">
      <c r="A172" s="1">
        <v>170</v>
      </c>
      <c r="B172" t="s">
        <v>181</v>
      </c>
      <c r="C172" t="s">
        <v>170</v>
      </c>
      <c r="D172">
        <v>0.39</v>
      </c>
      <c r="E172">
        <v>2.4</v>
      </c>
      <c r="F172">
        <v>36.1</v>
      </c>
      <c r="G172">
        <v>10.8</v>
      </c>
      <c r="H172">
        <v>25</v>
      </c>
      <c r="I172" s="4">
        <f t="shared" si="47"/>
        <v>0.39</v>
      </c>
      <c r="J172" s="4">
        <f t="shared" si="48"/>
        <v>2.4</v>
      </c>
      <c r="K172" s="4">
        <f t="shared" si="49"/>
        <v>36.1</v>
      </c>
      <c r="L172" s="4">
        <f t="shared" si="50"/>
        <v>10.8</v>
      </c>
      <c r="M172" s="4">
        <f t="shared" si="34"/>
        <v>25</v>
      </c>
      <c r="N172" s="3">
        <f t="shared" si="35"/>
        <v>14.1</v>
      </c>
      <c r="O172" s="3">
        <f t="shared" si="36"/>
        <v>86.6</v>
      </c>
      <c r="P172" s="5">
        <f t="shared" si="37"/>
        <v>0.39058171745152354</v>
      </c>
      <c r="Q172" s="5">
        <f t="shared" si="38"/>
        <v>2.3988919667590025</v>
      </c>
      <c r="R172" s="5">
        <f t="shared" si="39"/>
        <v>36.1</v>
      </c>
      <c r="S172" s="5">
        <f t="shared" si="40"/>
        <v>10.8</v>
      </c>
      <c r="T172" s="5">
        <f t="shared" si="41"/>
        <v>25</v>
      </c>
      <c r="U172" s="5">
        <f t="shared" si="42"/>
        <v>5.8171745152352239E-4</v>
      </c>
      <c r="V172" s="5">
        <f t="shared" si="43"/>
        <v>-1.108033240997397E-3</v>
      </c>
      <c r="W172" s="5">
        <f t="shared" si="44"/>
        <v>0</v>
      </c>
      <c r="X172" s="5">
        <f t="shared" si="45"/>
        <v>0</v>
      </c>
      <c r="Y172" s="5">
        <f t="shared" si="46"/>
        <v>0</v>
      </c>
    </row>
    <row r="173" spans="1:25" x14ac:dyDescent="0.3">
      <c r="A173" s="1">
        <v>171</v>
      </c>
      <c r="B173" t="s">
        <v>182</v>
      </c>
      <c r="C173" t="s">
        <v>170</v>
      </c>
      <c r="D173">
        <v>0.5</v>
      </c>
      <c r="E173">
        <v>2</v>
      </c>
      <c r="F173">
        <v>55</v>
      </c>
      <c r="G173">
        <v>15</v>
      </c>
      <c r="H173">
        <v>45</v>
      </c>
      <c r="I173" s="4">
        <f t="shared" si="47"/>
        <v>0.5</v>
      </c>
      <c r="J173" s="4">
        <f t="shared" si="48"/>
        <v>2</v>
      </c>
      <c r="K173" s="4">
        <f t="shared" si="49"/>
        <v>55</v>
      </c>
      <c r="L173" s="4">
        <f t="shared" si="50"/>
        <v>15</v>
      </c>
      <c r="M173" s="4">
        <f t="shared" si="34"/>
        <v>45</v>
      </c>
      <c r="N173" s="3">
        <f t="shared" si="35"/>
        <v>27.5</v>
      </c>
      <c r="O173" s="3">
        <f t="shared" si="36"/>
        <v>110</v>
      </c>
      <c r="P173" s="5">
        <f t="shared" si="37"/>
        <v>0.5</v>
      </c>
      <c r="Q173" s="5">
        <f t="shared" si="38"/>
        <v>2</v>
      </c>
      <c r="R173" s="5">
        <f t="shared" si="39"/>
        <v>55</v>
      </c>
      <c r="S173" s="5">
        <f t="shared" si="40"/>
        <v>15</v>
      </c>
      <c r="T173" s="5">
        <f t="shared" si="41"/>
        <v>45</v>
      </c>
      <c r="U173" s="5">
        <f t="shared" si="42"/>
        <v>0</v>
      </c>
      <c r="V173" s="5">
        <f t="shared" si="43"/>
        <v>0</v>
      </c>
      <c r="W173" s="5">
        <f t="shared" si="44"/>
        <v>0</v>
      </c>
      <c r="X173" s="5">
        <f t="shared" si="45"/>
        <v>0</v>
      </c>
      <c r="Y173" s="5">
        <f t="shared" si="46"/>
        <v>0</v>
      </c>
    </row>
    <row r="174" spans="1:25" x14ac:dyDescent="0.3">
      <c r="A174" s="1">
        <v>172</v>
      </c>
      <c r="B174" t="s">
        <v>183</v>
      </c>
      <c r="C174" t="s">
        <v>170</v>
      </c>
      <c r="D174">
        <v>0.38</v>
      </c>
      <c r="E174">
        <v>2.4</v>
      </c>
      <c r="F174">
        <v>73.900000000000006</v>
      </c>
      <c r="G174">
        <v>10.8</v>
      </c>
      <c r="H174">
        <v>65</v>
      </c>
      <c r="I174" s="4">
        <f t="shared" si="47"/>
        <v>0.38</v>
      </c>
      <c r="J174" s="4">
        <f t="shared" si="48"/>
        <v>2.4</v>
      </c>
      <c r="K174" s="4">
        <f t="shared" si="49"/>
        <v>73.900000000000006</v>
      </c>
      <c r="L174" s="4">
        <f t="shared" si="50"/>
        <v>10.8</v>
      </c>
      <c r="M174" s="4">
        <f t="shared" si="34"/>
        <v>65</v>
      </c>
      <c r="N174" s="3">
        <f t="shared" si="35"/>
        <v>28.1</v>
      </c>
      <c r="O174" s="3">
        <f t="shared" si="36"/>
        <v>177.4</v>
      </c>
      <c r="P174" s="5">
        <f t="shared" si="37"/>
        <v>0.38024357239512852</v>
      </c>
      <c r="Q174" s="5">
        <f t="shared" si="38"/>
        <v>2.4005412719891743</v>
      </c>
      <c r="R174" s="5">
        <f t="shared" si="39"/>
        <v>73.900000000000006</v>
      </c>
      <c r="S174" s="5">
        <f t="shared" si="40"/>
        <v>10.8</v>
      </c>
      <c r="T174" s="5">
        <f t="shared" si="41"/>
        <v>65</v>
      </c>
      <c r="U174" s="5">
        <f t="shared" si="42"/>
        <v>2.435723951285107E-4</v>
      </c>
      <c r="V174" s="5">
        <f t="shared" si="43"/>
        <v>5.4127198917441888E-4</v>
      </c>
      <c r="W174" s="5">
        <f t="shared" si="44"/>
        <v>0</v>
      </c>
      <c r="X174" s="5">
        <f t="shared" si="45"/>
        <v>0</v>
      </c>
      <c r="Y174" s="5">
        <f t="shared" si="46"/>
        <v>0</v>
      </c>
    </row>
    <row r="175" spans="1:25" x14ac:dyDescent="0.3">
      <c r="A175" s="1">
        <v>173</v>
      </c>
      <c r="B175" t="s">
        <v>184</v>
      </c>
      <c r="C175" t="s">
        <v>170</v>
      </c>
      <c r="D175">
        <v>0.38</v>
      </c>
      <c r="E175">
        <v>2.4</v>
      </c>
      <c r="F175">
        <v>73.900000000000006</v>
      </c>
      <c r="G175">
        <v>19.2</v>
      </c>
      <c r="H175">
        <v>65</v>
      </c>
      <c r="I175" s="4">
        <f t="shared" si="47"/>
        <v>0.38</v>
      </c>
      <c r="J175" s="4">
        <f t="shared" si="48"/>
        <v>2.4</v>
      </c>
      <c r="K175" s="4">
        <f t="shared" si="49"/>
        <v>73.900000000000006</v>
      </c>
      <c r="L175" s="4">
        <f t="shared" si="50"/>
        <v>19.2</v>
      </c>
      <c r="M175" s="4">
        <f t="shared" si="34"/>
        <v>65</v>
      </c>
      <c r="N175" s="3">
        <f t="shared" si="35"/>
        <v>28.1</v>
      </c>
      <c r="O175" s="3">
        <f t="shared" si="36"/>
        <v>177.4</v>
      </c>
      <c r="P175" s="5">
        <f t="shared" si="37"/>
        <v>0.38024357239512852</v>
      </c>
      <c r="Q175" s="5">
        <f t="shared" si="38"/>
        <v>2.4005412719891743</v>
      </c>
      <c r="R175" s="5">
        <f t="shared" si="39"/>
        <v>73.900000000000006</v>
      </c>
      <c r="S175" s="5">
        <f t="shared" si="40"/>
        <v>19.2</v>
      </c>
      <c r="T175" s="5">
        <f t="shared" si="41"/>
        <v>65</v>
      </c>
      <c r="U175" s="5">
        <f t="shared" si="42"/>
        <v>2.435723951285107E-4</v>
      </c>
      <c r="V175" s="5">
        <f t="shared" si="43"/>
        <v>5.4127198917441888E-4</v>
      </c>
      <c r="W175" s="5">
        <f t="shared" si="44"/>
        <v>0</v>
      </c>
      <c r="X175" s="5">
        <f t="shared" si="45"/>
        <v>0</v>
      </c>
      <c r="Y175" s="5">
        <f t="shared" si="46"/>
        <v>0</v>
      </c>
    </row>
    <row r="176" spans="1:25" x14ac:dyDescent="0.3">
      <c r="A176" s="1">
        <v>174</v>
      </c>
      <c r="B176" t="s">
        <v>185</v>
      </c>
      <c r="C176" t="s">
        <v>170</v>
      </c>
      <c r="D176">
        <v>0.22</v>
      </c>
      <c r="E176">
        <v>1.6</v>
      </c>
      <c r="F176">
        <v>73.900000000000006</v>
      </c>
      <c r="G176">
        <v>10.8</v>
      </c>
      <c r="H176">
        <v>25</v>
      </c>
      <c r="I176" s="4">
        <f t="shared" si="47"/>
        <v>0.22</v>
      </c>
      <c r="J176" s="4">
        <f t="shared" si="48"/>
        <v>1.6</v>
      </c>
      <c r="K176" s="4">
        <f t="shared" si="49"/>
        <v>73.900000000000006</v>
      </c>
      <c r="L176" s="4">
        <f t="shared" si="50"/>
        <v>10.8</v>
      </c>
      <c r="M176" s="4">
        <f t="shared" si="34"/>
        <v>25</v>
      </c>
      <c r="N176" s="3">
        <f t="shared" si="35"/>
        <v>16.3</v>
      </c>
      <c r="O176" s="3">
        <f t="shared" si="36"/>
        <v>118.2</v>
      </c>
      <c r="P176" s="5">
        <f t="shared" si="37"/>
        <v>0.22056833558863329</v>
      </c>
      <c r="Q176" s="5">
        <f t="shared" si="38"/>
        <v>1.5994587280108254</v>
      </c>
      <c r="R176" s="5">
        <f t="shared" si="39"/>
        <v>73.900000000000006</v>
      </c>
      <c r="S176" s="5">
        <f t="shared" si="40"/>
        <v>10.8</v>
      </c>
      <c r="T176" s="5">
        <f t="shared" si="41"/>
        <v>25</v>
      </c>
      <c r="U176" s="5">
        <f t="shared" si="42"/>
        <v>5.6833558863328415E-4</v>
      </c>
      <c r="V176" s="5">
        <f t="shared" si="43"/>
        <v>-5.4127198917464092E-4</v>
      </c>
      <c r="W176" s="5">
        <f t="shared" si="44"/>
        <v>0</v>
      </c>
      <c r="X176" s="5">
        <f t="shared" si="45"/>
        <v>0</v>
      </c>
      <c r="Y176" s="5">
        <f t="shared" si="46"/>
        <v>0</v>
      </c>
    </row>
    <row r="177" spans="1:25" x14ac:dyDescent="0.3">
      <c r="A177" s="1">
        <v>175</v>
      </c>
      <c r="B177" t="s">
        <v>186</v>
      </c>
      <c r="C177" t="s">
        <v>170</v>
      </c>
      <c r="D177">
        <v>0.38</v>
      </c>
      <c r="E177">
        <v>2.4</v>
      </c>
      <c r="F177">
        <v>73.900000000000006</v>
      </c>
      <c r="G177">
        <v>10.8</v>
      </c>
      <c r="H177">
        <v>25</v>
      </c>
      <c r="I177" s="4">
        <f t="shared" si="47"/>
        <v>0.38</v>
      </c>
      <c r="J177" s="4">
        <f t="shared" si="48"/>
        <v>2.4</v>
      </c>
      <c r="K177" s="4">
        <f t="shared" si="49"/>
        <v>73.900000000000006</v>
      </c>
      <c r="L177" s="4">
        <f t="shared" si="50"/>
        <v>10.8</v>
      </c>
      <c r="M177" s="4">
        <f t="shared" si="34"/>
        <v>25</v>
      </c>
      <c r="N177" s="3">
        <f t="shared" si="35"/>
        <v>28.1</v>
      </c>
      <c r="O177" s="3">
        <f t="shared" si="36"/>
        <v>177.4</v>
      </c>
      <c r="P177" s="5">
        <f t="shared" si="37"/>
        <v>0.38024357239512852</v>
      </c>
      <c r="Q177" s="5">
        <f t="shared" si="38"/>
        <v>2.4005412719891743</v>
      </c>
      <c r="R177" s="5">
        <f t="shared" si="39"/>
        <v>73.900000000000006</v>
      </c>
      <c r="S177" s="5">
        <f t="shared" si="40"/>
        <v>10.8</v>
      </c>
      <c r="T177" s="5">
        <f t="shared" si="41"/>
        <v>25</v>
      </c>
      <c r="U177" s="5">
        <f t="shared" si="42"/>
        <v>2.435723951285107E-4</v>
      </c>
      <c r="V177" s="5">
        <f t="shared" si="43"/>
        <v>5.4127198917441888E-4</v>
      </c>
      <c r="W177" s="5">
        <f t="shared" si="44"/>
        <v>0</v>
      </c>
      <c r="X177" s="5">
        <f t="shared" si="45"/>
        <v>0</v>
      </c>
      <c r="Y177" s="5">
        <f t="shared" si="46"/>
        <v>0</v>
      </c>
    </row>
    <row r="178" spans="1:25" x14ac:dyDescent="0.3">
      <c r="A178" s="1">
        <v>176</v>
      </c>
      <c r="B178" t="s">
        <v>187</v>
      </c>
      <c r="C178" t="s">
        <v>170</v>
      </c>
      <c r="D178">
        <v>0.22</v>
      </c>
      <c r="E178">
        <v>2.4</v>
      </c>
      <c r="F178">
        <v>36.1</v>
      </c>
      <c r="G178">
        <v>19.2</v>
      </c>
      <c r="H178">
        <v>25</v>
      </c>
      <c r="I178" s="4">
        <f t="shared" si="47"/>
        <v>0.22</v>
      </c>
      <c r="J178" s="4">
        <f t="shared" si="48"/>
        <v>2.4</v>
      </c>
      <c r="K178" s="4">
        <f t="shared" si="49"/>
        <v>36.1</v>
      </c>
      <c r="L178" s="4">
        <f t="shared" si="50"/>
        <v>19.2</v>
      </c>
      <c r="M178" s="4">
        <f t="shared" si="34"/>
        <v>25</v>
      </c>
      <c r="N178" s="3">
        <f t="shared" si="35"/>
        <v>7.9</v>
      </c>
      <c r="O178" s="3">
        <f t="shared" si="36"/>
        <v>86.6</v>
      </c>
      <c r="P178" s="5">
        <f t="shared" si="37"/>
        <v>0.2188365650969529</v>
      </c>
      <c r="Q178" s="5">
        <f t="shared" si="38"/>
        <v>2.3988919667590025</v>
      </c>
      <c r="R178" s="5">
        <f t="shared" si="39"/>
        <v>36.1</v>
      </c>
      <c r="S178" s="5">
        <f t="shared" si="40"/>
        <v>19.2</v>
      </c>
      <c r="T178" s="5">
        <f t="shared" si="41"/>
        <v>25</v>
      </c>
      <c r="U178" s="5">
        <f t="shared" si="42"/>
        <v>-1.1634349030471003E-3</v>
      </c>
      <c r="V178" s="5">
        <f t="shared" si="43"/>
        <v>-1.108033240997397E-3</v>
      </c>
      <c r="W178" s="5">
        <f t="shared" si="44"/>
        <v>0</v>
      </c>
      <c r="X178" s="5">
        <f t="shared" si="45"/>
        <v>0</v>
      </c>
      <c r="Y178" s="5">
        <f t="shared" si="46"/>
        <v>0</v>
      </c>
    </row>
    <row r="179" spans="1:25" x14ac:dyDescent="0.3">
      <c r="A179" s="1">
        <v>177</v>
      </c>
      <c r="B179" t="s">
        <v>188</v>
      </c>
      <c r="C179" t="s">
        <v>170</v>
      </c>
      <c r="D179">
        <v>0.39</v>
      </c>
      <c r="E179">
        <v>2.4</v>
      </c>
      <c r="F179">
        <v>36.1</v>
      </c>
      <c r="G179">
        <v>19.2</v>
      </c>
      <c r="H179">
        <v>25</v>
      </c>
      <c r="I179" s="4">
        <f t="shared" si="47"/>
        <v>0.39</v>
      </c>
      <c r="J179" s="4">
        <f t="shared" si="48"/>
        <v>2.4</v>
      </c>
      <c r="K179" s="4">
        <f t="shared" si="49"/>
        <v>36.1</v>
      </c>
      <c r="L179" s="4">
        <f t="shared" si="50"/>
        <v>19.2</v>
      </c>
      <c r="M179" s="4">
        <f t="shared" si="34"/>
        <v>25</v>
      </c>
      <c r="N179" s="3">
        <f t="shared" si="35"/>
        <v>14.1</v>
      </c>
      <c r="O179" s="3">
        <f t="shared" si="36"/>
        <v>86.6</v>
      </c>
      <c r="P179" s="5">
        <f t="shared" si="37"/>
        <v>0.39058171745152354</v>
      </c>
      <c r="Q179" s="5">
        <f t="shared" si="38"/>
        <v>2.3988919667590025</v>
      </c>
      <c r="R179" s="5">
        <f t="shared" si="39"/>
        <v>36.1</v>
      </c>
      <c r="S179" s="5">
        <f t="shared" si="40"/>
        <v>19.2</v>
      </c>
      <c r="T179" s="5">
        <f t="shared" si="41"/>
        <v>25</v>
      </c>
      <c r="U179" s="5">
        <f t="shared" si="42"/>
        <v>5.8171745152352239E-4</v>
      </c>
      <c r="V179" s="5">
        <f t="shared" si="43"/>
        <v>-1.108033240997397E-3</v>
      </c>
      <c r="W179" s="5">
        <f t="shared" si="44"/>
        <v>0</v>
      </c>
      <c r="X179" s="5">
        <f t="shared" si="45"/>
        <v>0</v>
      </c>
      <c r="Y179" s="5">
        <f t="shared" si="46"/>
        <v>0</v>
      </c>
    </row>
    <row r="180" spans="1:25" x14ac:dyDescent="0.3">
      <c r="A180" s="1">
        <v>178</v>
      </c>
      <c r="B180" t="s">
        <v>189</v>
      </c>
      <c r="C180" t="s">
        <v>170</v>
      </c>
      <c r="D180">
        <v>0.3</v>
      </c>
      <c r="E180">
        <v>2</v>
      </c>
      <c r="F180">
        <v>10</v>
      </c>
      <c r="G180">
        <v>15</v>
      </c>
      <c r="H180">
        <v>45</v>
      </c>
      <c r="I180" s="4">
        <f t="shared" si="47"/>
        <v>0.3</v>
      </c>
      <c r="J180" s="4">
        <f t="shared" si="48"/>
        <v>2</v>
      </c>
      <c r="K180" s="4">
        <f t="shared" si="49"/>
        <v>10</v>
      </c>
      <c r="L180" s="4">
        <f t="shared" si="50"/>
        <v>15</v>
      </c>
      <c r="M180" s="4">
        <f t="shared" si="34"/>
        <v>45</v>
      </c>
      <c r="N180" s="3">
        <f t="shared" si="35"/>
        <v>3</v>
      </c>
      <c r="O180" s="3">
        <f t="shared" si="36"/>
        <v>20</v>
      </c>
      <c r="P180" s="5">
        <f t="shared" si="37"/>
        <v>0.3</v>
      </c>
      <c r="Q180" s="5">
        <f t="shared" si="38"/>
        <v>2</v>
      </c>
      <c r="R180" s="5">
        <f t="shared" si="39"/>
        <v>10</v>
      </c>
      <c r="S180" s="5">
        <f t="shared" si="40"/>
        <v>15</v>
      </c>
      <c r="T180" s="5">
        <f t="shared" si="41"/>
        <v>45</v>
      </c>
      <c r="U180" s="5">
        <f t="shared" si="42"/>
        <v>0</v>
      </c>
      <c r="V180" s="5">
        <f t="shared" si="43"/>
        <v>0</v>
      </c>
      <c r="W180" s="5">
        <f t="shared" si="44"/>
        <v>0</v>
      </c>
      <c r="X180" s="5">
        <f t="shared" si="45"/>
        <v>0</v>
      </c>
      <c r="Y180" s="5">
        <f t="shared" si="46"/>
        <v>0</v>
      </c>
    </row>
    <row r="181" spans="1:25" x14ac:dyDescent="0.3">
      <c r="A181" s="1">
        <v>179</v>
      </c>
      <c r="B181" t="s">
        <v>190</v>
      </c>
      <c r="C181" t="s">
        <v>170</v>
      </c>
      <c r="D181">
        <v>0.22</v>
      </c>
      <c r="E181">
        <v>1.6</v>
      </c>
      <c r="F181">
        <v>36.1</v>
      </c>
      <c r="G181">
        <v>10.8</v>
      </c>
      <c r="H181">
        <v>25</v>
      </c>
      <c r="I181" s="4">
        <f t="shared" si="47"/>
        <v>0.22</v>
      </c>
      <c r="J181" s="4">
        <f t="shared" si="48"/>
        <v>1.6</v>
      </c>
      <c r="K181" s="4">
        <f t="shared" si="49"/>
        <v>36.1</v>
      </c>
      <c r="L181" s="4">
        <f t="shared" si="50"/>
        <v>10.8</v>
      </c>
      <c r="M181" s="4">
        <f t="shared" si="34"/>
        <v>25</v>
      </c>
      <c r="N181" s="3">
        <f t="shared" si="35"/>
        <v>7.9</v>
      </c>
      <c r="O181" s="3">
        <f t="shared" si="36"/>
        <v>57.8</v>
      </c>
      <c r="P181" s="5">
        <f t="shared" si="37"/>
        <v>0.2188365650969529</v>
      </c>
      <c r="Q181" s="5">
        <f t="shared" si="38"/>
        <v>1.601108033240997</v>
      </c>
      <c r="R181" s="5">
        <f t="shared" si="39"/>
        <v>36.1</v>
      </c>
      <c r="S181" s="5">
        <f t="shared" si="40"/>
        <v>10.8</v>
      </c>
      <c r="T181" s="5">
        <f t="shared" si="41"/>
        <v>25</v>
      </c>
      <c r="U181" s="5">
        <f t="shared" si="42"/>
        <v>-1.1634349030471003E-3</v>
      </c>
      <c r="V181" s="5">
        <f t="shared" si="43"/>
        <v>1.1080332409969529E-3</v>
      </c>
      <c r="W181" s="5">
        <f t="shared" si="44"/>
        <v>0</v>
      </c>
      <c r="X181" s="5">
        <f t="shared" si="45"/>
        <v>0</v>
      </c>
      <c r="Y181" s="5">
        <f t="shared" si="46"/>
        <v>0</v>
      </c>
    </row>
    <row r="182" spans="1:25" x14ac:dyDescent="0.3">
      <c r="A182" s="1">
        <v>180</v>
      </c>
      <c r="B182" t="s">
        <v>191</v>
      </c>
      <c r="C182" t="s">
        <v>170</v>
      </c>
      <c r="D182">
        <v>0.39</v>
      </c>
      <c r="E182">
        <v>1.6</v>
      </c>
      <c r="F182">
        <v>36.1</v>
      </c>
      <c r="G182">
        <v>19.2</v>
      </c>
      <c r="H182">
        <v>25</v>
      </c>
      <c r="I182" s="4">
        <f t="shared" si="47"/>
        <v>0.39</v>
      </c>
      <c r="J182" s="4">
        <f t="shared" si="48"/>
        <v>1.6</v>
      </c>
      <c r="K182" s="4">
        <f t="shared" si="49"/>
        <v>36.1</v>
      </c>
      <c r="L182" s="4">
        <f t="shared" si="50"/>
        <v>19.2</v>
      </c>
      <c r="M182" s="4">
        <f t="shared" si="34"/>
        <v>25</v>
      </c>
      <c r="N182" s="3">
        <f t="shared" si="35"/>
        <v>14.1</v>
      </c>
      <c r="O182" s="3">
        <f t="shared" si="36"/>
        <v>57.8</v>
      </c>
      <c r="P182" s="5">
        <f t="shared" si="37"/>
        <v>0.39058171745152354</v>
      </c>
      <c r="Q182" s="5">
        <f t="shared" si="38"/>
        <v>1.601108033240997</v>
      </c>
      <c r="R182" s="5">
        <f t="shared" si="39"/>
        <v>36.1</v>
      </c>
      <c r="S182" s="5">
        <f t="shared" si="40"/>
        <v>19.2</v>
      </c>
      <c r="T182" s="5">
        <f t="shared" si="41"/>
        <v>25</v>
      </c>
      <c r="U182" s="5">
        <f t="shared" si="42"/>
        <v>5.8171745152352239E-4</v>
      </c>
      <c r="V182" s="5">
        <f t="shared" si="43"/>
        <v>1.1080332409969529E-3</v>
      </c>
      <c r="W182" s="5">
        <f t="shared" si="44"/>
        <v>0</v>
      </c>
      <c r="X182" s="5">
        <f t="shared" si="45"/>
        <v>0</v>
      </c>
      <c r="Y182" s="5">
        <f t="shared" si="46"/>
        <v>0</v>
      </c>
    </row>
    <row r="183" spans="1:25" x14ac:dyDescent="0.3">
      <c r="A183" s="1">
        <v>181</v>
      </c>
      <c r="B183" t="s">
        <v>192</v>
      </c>
      <c r="C183" t="s">
        <v>170</v>
      </c>
      <c r="D183">
        <v>0.3</v>
      </c>
      <c r="E183">
        <v>3</v>
      </c>
      <c r="F183">
        <v>55</v>
      </c>
      <c r="G183">
        <v>15</v>
      </c>
      <c r="H183">
        <v>45</v>
      </c>
      <c r="I183" s="4">
        <f t="shared" si="47"/>
        <v>0.3</v>
      </c>
      <c r="J183" s="4">
        <f t="shared" si="48"/>
        <v>3</v>
      </c>
      <c r="K183" s="4">
        <f t="shared" si="49"/>
        <v>55</v>
      </c>
      <c r="L183" s="4">
        <f t="shared" si="50"/>
        <v>15</v>
      </c>
      <c r="M183" s="4">
        <f t="shared" si="34"/>
        <v>45</v>
      </c>
      <c r="N183" s="3">
        <f t="shared" si="35"/>
        <v>16.5</v>
      </c>
      <c r="O183" s="3">
        <f t="shared" si="36"/>
        <v>165</v>
      </c>
      <c r="P183" s="5">
        <f t="shared" si="37"/>
        <v>0.3</v>
      </c>
      <c r="Q183" s="5">
        <f t="shared" si="38"/>
        <v>3</v>
      </c>
      <c r="R183" s="5">
        <f t="shared" si="39"/>
        <v>55</v>
      </c>
      <c r="S183" s="5">
        <f t="shared" si="40"/>
        <v>15</v>
      </c>
      <c r="T183" s="5">
        <f t="shared" si="41"/>
        <v>45</v>
      </c>
      <c r="U183" s="5">
        <f t="shared" si="42"/>
        <v>0</v>
      </c>
      <c r="V183" s="5">
        <f t="shared" si="43"/>
        <v>0</v>
      </c>
      <c r="W183" s="5">
        <f t="shared" si="44"/>
        <v>0</v>
      </c>
      <c r="X183" s="5">
        <f t="shared" si="45"/>
        <v>0</v>
      </c>
      <c r="Y183" s="5">
        <f t="shared" si="46"/>
        <v>0</v>
      </c>
    </row>
    <row r="184" spans="1:25" x14ac:dyDescent="0.3">
      <c r="A184" s="1">
        <v>182</v>
      </c>
      <c r="B184" t="s">
        <v>193</v>
      </c>
      <c r="C184" t="s">
        <v>170</v>
      </c>
      <c r="D184">
        <v>0.38</v>
      </c>
      <c r="E184">
        <v>2.4</v>
      </c>
      <c r="F184">
        <v>73.900000000000006</v>
      </c>
      <c r="G184">
        <v>19.2</v>
      </c>
      <c r="H184">
        <v>25</v>
      </c>
      <c r="I184" s="4">
        <f t="shared" si="47"/>
        <v>0.38</v>
      </c>
      <c r="J184" s="4">
        <f t="shared" si="48"/>
        <v>2.4</v>
      </c>
      <c r="K184" s="4">
        <f t="shared" si="49"/>
        <v>73.900000000000006</v>
      </c>
      <c r="L184" s="4">
        <f t="shared" si="50"/>
        <v>19.2</v>
      </c>
      <c r="M184" s="4">
        <f t="shared" si="34"/>
        <v>25</v>
      </c>
      <c r="N184" s="3">
        <f t="shared" si="35"/>
        <v>28.1</v>
      </c>
      <c r="O184" s="3">
        <f t="shared" si="36"/>
        <v>177.4</v>
      </c>
      <c r="P184" s="5">
        <f t="shared" si="37"/>
        <v>0.38024357239512852</v>
      </c>
      <c r="Q184" s="5">
        <f t="shared" si="38"/>
        <v>2.4005412719891743</v>
      </c>
      <c r="R184" s="5">
        <f t="shared" si="39"/>
        <v>73.900000000000006</v>
      </c>
      <c r="S184" s="5">
        <f t="shared" si="40"/>
        <v>19.2</v>
      </c>
      <c r="T184" s="5">
        <f t="shared" si="41"/>
        <v>25</v>
      </c>
      <c r="U184" s="5">
        <f t="shared" si="42"/>
        <v>2.435723951285107E-4</v>
      </c>
      <c r="V184" s="5">
        <f t="shared" si="43"/>
        <v>5.4127198917441888E-4</v>
      </c>
      <c r="W184" s="5">
        <f t="shared" si="44"/>
        <v>0</v>
      </c>
      <c r="X184" s="5">
        <f t="shared" si="45"/>
        <v>0</v>
      </c>
      <c r="Y184" s="5">
        <f t="shared" si="46"/>
        <v>0</v>
      </c>
    </row>
    <row r="185" spans="1:25" x14ac:dyDescent="0.3">
      <c r="A185" s="1">
        <v>183</v>
      </c>
      <c r="B185" t="s">
        <v>194</v>
      </c>
      <c r="C185" t="s">
        <v>170</v>
      </c>
      <c r="D185">
        <v>0.38</v>
      </c>
      <c r="E185">
        <v>1.6</v>
      </c>
      <c r="F185">
        <v>73.900000000000006</v>
      </c>
      <c r="G185">
        <v>10.8</v>
      </c>
      <c r="H185">
        <v>25</v>
      </c>
      <c r="I185" s="4">
        <f t="shared" si="47"/>
        <v>0.38</v>
      </c>
      <c r="J185" s="4">
        <f t="shared" si="48"/>
        <v>1.6</v>
      </c>
      <c r="K185" s="4">
        <f t="shared" si="49"/>
        <v>73.900000000000006</v>
      </c>
      <c r="L185" s="4">
        <f t="shared" si="50"/>
        <v>10.8</v>
      </c>
      <c r="M185" s="4">
        <f t="shared" si="34"/>
        <v>25</v>
      </c>
      <c r="N185" s="3">
        <f t="shared" si="35"/>
        <v>28.1</v>
      </c>
      <c r="O185" s="3">
        <f t="shared" si="36"/>
        <v>118.2</v>
      </c>
      <c r="P185" s="5">
        <f t="shared" si="37"/>
        <v>0.38024357239512852</v>
      </c>
      <c r="Q185" s="5">
        <f t="shared" si="38"/>
        <v>1.5994587280108254</v>
      </c>
      <c r="R185" s="5">
        <f t="shared" si="39"/>
        <v>73.900000000000006</v>
      </c>
      <c r="S185" s="5">
        <f t="shared" si="40"/>
        <v>10.8</v>
      </c>
      <c r="T185" s="5">
        <f t="shared" si="41"/>
        <v>25</v>
      </c>
      <c r="U185" s="5">
        <f t="shared" si="42"/>
        <v>2.435723951285107E-4</v>
      </c>
      <c r="V185" s="5">
        <f t="shared" si="43"/>
        <v>-5.4127198917464092E-4</v>
      </c>
      <c r="W185" s="5">
        <f t="shared" si="44"/>
        <v>0</v>
      </c>
      <c r="X185" s="5">
        <f t="shared" si="45"/>
        <v>0</v>
      </c>
      <c r="Y185" s="5">
        <f t="shared" si="46"/>
        <v>0</v>
      </c>
    </row>
    <row r="186" spans="1:25" x14ac:dyDescent="0.3">
      <c r="A186" s="1">
        <v>184</v>
      </c>
      <c r="B186" t="s">
        <v>195</v>
      </c>
      <c r="C186" t="s">
        <v>170</v>
      </c>
      <c r="D186">
        <v>0.38</v>
      </c>
      <c r="E186">
        <v>1.6</v>
      </c>
      <c r="F186">
        <v>73.900000000000006</v>
      </c>
      <c r="G186">
        <v>19.2</v>
      </c>
      <c r="H186">
        <v>25</v>
      </c>
      <c r="I186" s="4">
        <f t="shared" si="47"/>
        <v>0.38</v>
      </c>
      <c r="J186" s="4">
        <f t="shared" si="48"/>
        <v>1.6</v>
      </c>
      <c r="K186" s="4">
        <f t="shared" si="49"/>
        <v>73.900000000000006</v>
      </c>
      <c r="L186" s="4">
        <f t="shared" si="50"/>
        <v>19.2</v>
      </c>
      <c r="M186" s="4">
        <f t="shared" si="34"/>
        <v>25</v>
      </c>
      <c r="N186" s="3">
        <f t="shared" si="35"/>
        <v>28.1</v>
      </c>
      <c r="O186" s="3">
        <f t="shared" si="36"/>
        <v>118.2</v>
      </c>
      <c r="P186" s="5">
        <f t="shared" si="37"/>
        <v>0.38024357239512852</v>
      </c>
      <c r="Q186" s="5">
        <f t="shared" si="38"/>
        <v>1.5994587280108254</v>
      </c>
      <c r="R186" s="5">
        <f t="shared" si="39"/>
        <v>73.900000000000006</v>
      </c>
      <c r="S186" s="5">
        <f t="shared" si="40"/>
        <v>19.2</v>
      </c>
      <c r="T186" s="5">
        <f t="shared" si="41"/>
        <v>25</v>
      </c>
      <c r="U186" s="5">
        <f t="shared" si="42"/>
        <v>2.435723951285107E-4</v>
      </c>
      <c r="V186" s="5">
        <f t="shared" si="43"/>
        <v>-5.4127198917464092E-4</v>
      </c>
      <c r="W186" s="5">
        <f t="shared" si="44"/>
        <v>0</v>
      </c>
      <c r="X186" s="5">
        <f t="shared" si="45"/>
        <v>0</v>
      </c>
      <c r="Y186" s="5">
        <f t="shared" si="46"/>
        <v>0</v>
      </c>
    </row>
    <row r="187" spans="1:25" x14ac:dyDescent="0.3">
      <c r="A187" s="1">
        <v>185</v>
      </c>
      <c r="B187" t="s">
        <v>196</v>
      </c>
      <c r="C187" t="s">
        <v>170</v>
      </c>
      <c r="D187">
        <v>0.22</v>
      </c>
      <c r="E187">
        <v>2.4</v>
      </c>
      <c r="F187">
        <v>73.900000000000006</v>
      </c>
      <c r="G187">
        <v>10.8</v>
      </c>
      <c r="H187">
        <v>25</v>
      </c>
      <c r="I187" s="4">
        <f t="shared" si="47"/>
        <v>0.22</v>
      </c>
      <c r="J187" s="4">
        <f t="shared" si="48"/>
        <v>2.4</v>
      </c>
      <c r="K187" s="4">
        <f t="shared" si="49"/>
        <v>73.900000000000006</v>
      </c>
      <c r="L187" s="4">
        <f t="shared" si="50"/>
        <v>10.8</v>
      </c>
      <c r="M187" s="4">
        <f t="shared" si="34"/>
        <v>25</v>
      </c>
      <c r="N187" s="3">
        <f t="shared" si="35"/>
        <v>16.3</v>
      </c>
      <c r="O187" s="3">
        <f t="shared" si="36"/>
        <v>177.4</v>
      </c>
      <c r="P187" s="5">
        <f t="shared" si="37"/>
        <v>0.22056833558863329</v>
      </c>
      <c r="Q187" s="5">
        <f t="shared" si="38"/>
        <v>2.4005412719891743</v>
      </c>
      <c r="R187" s="5">
        <f t="shared" si="39"/>
        <v>73.900000000000006</v>
      </c>
      <c r="S187" s="5">
        <f t="shared" si="40"/>
        <v>10.8</v>
      </c>
      <c r="T187" s="5">
        <f t="shared" si="41"/>
        <v>25</v>
      </c>
      <c r="U187" s="5">
        <f t="shared" si="42"/>
        <v>5.6833558863328415E-4</v>
      </c>
      <c r="V187" s="5">
        <f t="shared" si="43"/>
        <v>5.4127198917441888E-4</v>
      </c>
      <c r="W187" s="5">
        <f t="shared" si="44"/>
        <v>0</v>
      </c>
      <c r="X187" s="5">
        <f t="shared" si="45"/>
        <v>0</v>
      </c>
      <c r="Y187" s="5">
        <f t="shared" si="46"/>
        <v>0</v>
      </c>
    </row>
    <row r="188" spans="1:25" x14ac:dyDescent="0.3">
      <c r="A188" s="1">
        <v>186</v>
      </c>
      <c r="B188" t="s">
        <v>197</v>
      </c>
      <c r="C188" t="s">
        <v>170</v>
      </c>
      <c r="D188">
        <v>0.1</v>
      </c>
      <c r="E188">
        <v>2</v>
      </c>
      <c r="F188">
        <v>55</v>
      </c>
      <c r="G188">
        <v>15</v>
      </c>
      <c r="H188">
        <v>45</v>
      </c>
      <c r="I188" s="4">
        <f t="shared" si="47"/>
        <v>0.1</v>
      </c>
      <c r="J188" s="4">
        <f t="shared" si="48"/>
        <v>2</v>
      </c>
      <c r="K188" s="4">
        <f t="shared" si="49"/>
        <v>55</v>
      </c>
      <c r="L188" s="4">
        <f t="shared" si="50"/>
        <v>15</v>
      </c>
      <c r="M188" s="4">
        <f t="shared" si="34"/>
        <v>45</v>
      </c>
      <c r="N188" s="3">
        <f t="shared" si="35"/>
        <v>5.5</v>
      </c>
      <c r="O188" s="3">
        <f t="shared" si="36"/>
        <v>110</v>
      </c>
      <c r="P188" s="5">
        <f t="shared" si="37"/>
        <v>0.1</v>
      </c>
      <c r="Q188" s="5">
        <f t="shared" si="38"/>
        <v>2</v>
      </c>
      <c r="R188" s="5">
        <f t="shared" si="39"/>
        <v>55</v>
      </c>
      <c r="S188" s="5">
        <f t="shared" si="40"/>
        <v>15</v>
      </c>
      <c r="T188" s="5">
        <f t="shared" si="41"/>
        <v>45</v>
      </c>
      <c r="U188" s="5">
        <f t="shared" si="42"/>
        <v>0</v>
      </c>
      <c r="V188" s="5">
        <f t="shared" si="43"/>
        <v>0</v>
      </c>
      <c r="W188" s="5">
        <f t="shared" si="44"/>
        <v>0</v>
      </c>
      <c r="X188" s="5">
        <f t="shared" si="45"/>
        <v>0</v>
      </c>
      <c r="Y188" s="5">
        <f t="shared" si="46"/>
        <v>0</v>
      </c>
    </row>
    <row r="189" spans="1:25" x14ac:dyDescent="0.3">
      <c r="A189" s="1">
        <v>187</v>
      </c>
      <c r="B189" t="s">
        <v>198</v>
      </c>
      <c r="C189" t="s">
        <v>170</v>
      </c>
      <c r="D189">
        <v>0.22</v>
      </c>
      <c r="E189">
        <v>2.4</v>
      </c>
      <c r="F189">
        <v>73.900000000000006</v>
      </c>
      <c r="G189">
        <v>10.8</v>
      </c>
      <c r="H189">
        <v>65</v>
      </c>
      <c r="I189" s="4">
        <f t="shared" si="47"/>
        <v>0.22</v>
      </c>
      <c r="J189" s="4">
        <f t="shared" si="48"/>
        <v>2.4</v>
      </c>
      <c r="K189" s="4">
        <f t="shared" si="49"/>
        <v>73.900000000000006</v>
      </c>
      <c r="L189" s="4">
        <f t="shared" si="50"/>
        <v>10.8</v>
      </c>
      <c r="M189" s="4">
        <f t="shared" si="34"/>
        <v>65</v>
      </c>
      <c r="N189" s="3">
        <f t="shared" si="35"/>
        <v>16.3</v>
      </c>
      <c r="O189" s="3">
        <f t="shared" si="36"/>
        <v>177.4</v>
      </c>
      <c r="P189" s="5">
        <f t="shared" si="37"/>
        <v>0.22056833558863329</v>
      </c>
      <c r="Q189" s="5">
        <f t="shared" si="38"/>
        <v>2.4005412719891743</v>
      </c>
      <c r="R189" s="5">
        <f t="shared" si="39"/>
        <v>73.900000000000006</v>
      </c>
      <c r="S189" s="5">
        <f t="shared" si="40"/>
        <v>10.8</v>
      </c>
      <c r="T189" s="5">
        <f t="shared" si="41"/>
        <v>65</v>
      </c>
      <c r="U189" s="5">
        <f t="shared" si="42"/>
        <v>5.6833558863328415E-4</v>
      </c>
      <c r="V189" s="5">
        <f t="shared" si="43"/>
        <v>5.4127198917441888E-4</v>
      </c>
      <c r="W189" s="5">
        <f t="shared" si="44"/>
        <v>0</v>
      </c>
      <c r="X189" s="5">
        <f t="shared" si="45"/>
        <v>0</v>
      </c>
      <c r="Y189" s="5">
        <f t="shared" si="46"/>
        <v>0</v>
      </c>
    </row>
    <row r="190" spans="1:25" x14ac:dyDescent="0.3">
      <c r="A190" s="1">
        <v>188</v>
      </c>
      <c r="B190" t="s">
        <v>199</v>
      </c>
      <c r="C190" t="s">
        <v>170</v>
      </c>
      <c r="D190">
        <v>0.3</v>
      </c>
      <c r="E190">
        <v>2</v>
      </c>
      <c r="F190">
        <v>55</v>
      </c>
      <c r="G190">
        <v>15</v>
      </c>
      <c r="H190">
        <v>90</v>
      </c>
      <c r="I190" s="4">
        <f t="shared" si="47"/>
        <v>0.3</v>
      </c>
      <c r="J190" s="4">
        <f t="shared" si="48"/>
        <v>2</v>
      </c>
      <c r="K190" s="4">
        <f t="shared" si="49"/>
        <v>55</v>
      </c>
      <c r="L190" s="4">
        <f t="shared" si="50"/>
        <v>15</v>
      </c>
      <c r="M190" s="4">
        <f t="shared" si="34"/>
        <v>90</v>
      </c>
      <c r="N190" s="3">
        <f t="shared" si="35"/>
        <v>16.5</v>
      </c>
      <c r="O190" s="3">
        <f t="shared" si="36"/>
        <v>110</v>
      </c>
      <c r="P190" s="5">
        <f t="shared" si="37"/>
        <v>0.3</v>
      </c>
      <c r="Q190" s="5">
        <f t="shared" si="38"/>
        <v>2</v>
      </c>
      <c r="R190" s="5">
        <f t="shared" si="39"/>
        <v>55</v>
      </c>
      <c r="S190" s="5">
        <f t="shared" si="40"/>
        <v>15</v>
      </c>
      <c r="T190" s="5">
        <f t="shared" si="41"/>
        <v>90</v>
      </c>
      <c r="U190" s="5">
        <f t="shared" si="42"/>
        <v>0</v>
      </c>
      <c r="V190" s="5">
        <f t="shared" si="43"/>
        <v>0</v>
      </c>
      <c r="W190" s="5">
        <f t="shared" si="44"/>
        <v>0</v>
      </c>
      <c r="X190" s="5">
        <f t="shared" si="45"/>
        <v>0</v>
      </c>
      <c r="Y190" s="5">
        <f t="shared" si="46"/>
        <v>0</v>
      </c>
    </row>
    <row r="191" spans="1:25" x14ac:dyDescent="0.3">
      <c r="A191" s="1">
        <v>189</v>
      </c>
      <c r="B191" t="s">
        <v>200</v>
      </c>
      <c r="C191" t="s">
        <v>170</v>
      </c>
      <c r="D191">
        <v>0.22</v>
      </c>
      <c r="E191">
        <v>1.6</v>
      </c>
      <c r="F191">
        <v>36.1</v>
      </c>
      <c r="G191">
        <v>19.2</v>
      </c>
      <c r="H191">
        <v>25</v>
      </c>
      <c r="I191" s="4">
        <f t="shared" si="47"/>
        <v>0.22</v>
      </c>
      <c r="J191" s="4">
        <f t="shared" si="48"/>
        <v>1.6</v>
      </c>
      <c r="K191" s="4">
        <f t="shared" si="49"/>
        <v>36.1</v>
      </c>
      <c r="L191" s="4">
        <f t="shared" si="50"/>
        <v>19.2</v>
      </c>
      <c r="M191" s="4">
        <f t="shared" si="34"/>
        <v>25</v>
      </c>
      <c r="N191" s="3">
        <f t="shared" si="35"/>
        <v>7.9</v>
      </c>
      <c r="O191" s="3">
        <f t="shared" si="36"/>
        <v>57.8</v>
      </c>
      <c r="P191" s="5">
        <f t="shared" si="37"/>
        <v>0.2188365650969529</v>
      </c>
      <c r="Q191" s="5">
        <f t="shared" si="38"/>
        <v>1.601108033240997</v>
      </c>
      <c r="R191" s="5">
        <f t="shared" si="39"/>
        <v>36.1</v>
      </c>
      <c r="S191" s="5">
        <f t="shared" si="40"/>
        <v>19.2</v>
      </c>
      <c r="T191" s="5">
        <f t="shared" si="41"/>
        <v>25</v>
      </c>
      <c r="U191" s="5">
        <f t="shared" si="42"/>
        <v>-1.1634349030471003E-3</v>
      </c>
      <c r="V191" s="5">
        <f t="shared" si="43"/>
        <v>1.1080332409969529E-3</v>
      </c>
      <c r="W191" s="5">
        <f t="shared" si="44"/>
        <v>0</v>
      </c>
      <c r="X191" s="5">
        <f t="shared" si="45"/>
        <v>0</v>
      </c>
      <c r="Y191" s="5">
        <f t="shared" si="46"/>
        <v>0</v>
      </c>
    </row>
    <row r="192" spans="1:25" x14ac:dyDescent="0.3">
      <c r="A192" s="1">
        <v>190</v>
      </c>
      <c r="B192" t="s">
        <v>201</v>
      </c>
      <c r="C192" t="s">
        <v>170</v>
      </c>
      <c r="D192">
        <v>0.39</v>
      </c>
      <c r="E192">
        <v>2.4</v>
      </c>
      <c r="F192">
        <v>36.1</v>
      </c>
      <c r="G192">
        <v>19.2</v>
      </c>
      <c r="H192">
        <v>65</v>
      </c>
      <c r="I192" s="4">
        <f t="shared" si="47"/>
        <v>0.39</v>
      </c>
      <c r="J192" s="4">
        <f t="shared" si="48"/>
        <v>2.4</v>
      </c>
      <c r="K192" s="4">
        <f t="shared" si="49"/>
        <v>36.1</v>
      </c>
      <c r="L192" s="4">
        <f t="shared" si="50"/>
        <v>19.2</v>
      </c>
      <c r="M192" s="4">
        <f t="shared" si="34"/>
        <v>65</v>
      </c>
      <c r="N192" s="3">
        <f t="shared" si="35"/>
        <v>14.1</v>
      </c>
      <c r="O192" s="3">
        <f t="shared" si="36"/>
        <v>86.6</v>
      </c>
      <c r="P192" s="5">
        <f t="shared" si="37"/>
        <v>0.39058171745152354</v>
      </c>
      <c r="Q192" s="5">
        <f t="shared" si="38"/>
        <v>2.3988919667590025</v>
      </c>
      <c r="R192" s="5">
        <f t="shared" si="39"/>
        <v>36.1</v>
      </c>
      <c r="S192" s="5">
        <f t="shared" si="40"/>
        <v>19.2</v>
      </c>
      <c r="T192" s="5">
        <f t="shared" si="41"/>
        <v>65</v>
      </c>
      <c r="U192" s="5">
        <f t="shared" si="42"/>
        <v>5.8171745152352239E-4</v>
      </c>
      <c r="V192" s="5">
        <f t="shared" si="43"/>
        <v>-1.108033240997397E-3</v>
      </c>
      <c r="W192" s="5">
        <f t="shared" si="44"/>
        <v>0</v>
      </c>
      <c r="X192" s="5">
        <f t="shared" si="45"/>
        <v>0</v>
      </c>
      <c r="Y192" s="5">
        <f t="shared" si="46"/>
        <v>0</v>
      </c>
    </row>
    <row r="193" spans="1:25" x14ac:dyDescent="0.3">
      <c r="A193" s="1">
        <v>191</v>
      </c>
      <c r="B193" t="s">
        <v>202</v>
      </c>
      <c r="C193" t="s">
        <v>170</v>
      </c>
      <c r="D193">
        <v>0.3</v>
      </c>
      <c r="E193">
        <v>2</v>
      </c>
      <c r="F193">
        <v>100</v>
      </c>
      <c r="G193">
        <v>15</v>
      </c>
      <c r="H193">
        <v>45</v>
      </c>
      <c r="I193" s="4">
        <f t="shared" si="47"/>
        <v>0.3</v>
      </c>
      <c r="J193" s="4">
        <f t="shared" si="48"/>
        <v>2</v>
      </c>
      <c r="K193" s="4">
        <f t="shared" si="49"/>
        <v>100</v>
      </c>
      <c r="L193" s="4">
        <f t="shared" si="50"/>
        <v>15</v>
      </c>
      <c r="M193" s="4">
        <f t="shared" si="34"/>
        <v>45</v>
      </c>
      <c r="N193" s="3">
        <f t="shared" si="35"/>
        <v>30</v>
      </c>
      <c r="O193" s="3">
        <f t="shared" si="36"/>
        <v>200</v>
      </c>
      <c r="P193" s="5">
        <f t="shared" si="37"/>
        <v>0.3</v>
      </c>
      <c r="Q193" s="5">
        <f t="shared" si="38"/>
        <v>2</v>
      </c>
      <c r="R193" s="5">
        <f t="shared" si="39"/>
        <v>100</v>
      </c>
      <c r="S193" s="5">
        <f t="shared" si="40"/>
        <v>15</v>
      </c>
      <c r="T193" s="5">
        <f t="shared" si="41"/>
        <v>45</v>
      </c>
      <c r="U193" s="5">
        <f t="shared" si="42"/>
        <v>0</v>
      </c>
      <c r="V193" s="5">
        <f t="shared" si="43"/>
        <v>0</v>
      </c>
      <c r="W193" s="5">
        <f t="shared" si="44"/>
        <v>0</v>
      </c>
      <c r="X193" s="5">
        <f t="shared" si="45"/>
        <v>0</v>
      </c>
      <c r="Y193" s="5">
        <f t="shared" si="46"/>
        <v>0</v>
      </c>
    </row>
    <row r="194" spans="1:25" x14ac:dyDescent="0.3">
      <c r="A194" s="1">
        <v>192</v>
      </c>
      <c r="B194" t="s">
        <v>203</v>
      </c>
      <c r="C194" t="s">
        <v>170</v>
      </c>
      <c r="D194">
        <v>0.22</v>
      </c>
      <c r="E194">
        <v>1.6</v>
      </c>
      <c r="F194">
        <v>73.900000000000006</v>
      </c>
      <c r="G194">
        <v>10.8</v>
      </c>
      <c r="H194">
        <v>65</v>
      </c>
      <c r="I194" s="4">
        <f t="shared" si="47"/>
        <v>0.22</v>
      </c>
      <c r="J194" s="4">
        <f t="shared" si="48"/>
        <v>1.6</v>
      </c>
      <c r="K194" s="4">
        <f t="shared" si="49"/>
        <v>73.900000000000006</v>
      </c>
      <c r="L194" s="4">
        <f t="shared" si="50"/>
        <v>10.8</v>
      </c>
      <c r="M194" s="4">
        <f t="shared" si="34"/>
        <v>65</v>
      </c>
      <c r="N194" s="3">
        <f t="shared" si="35"/>
        <v>16.3</v>
      </c>
      <c r="O194" s="3">
        <f t="shared" si="36"/>
        <v>118.2</v>
      </c>
      <c r="P194" s="5">
        <f t="shared" si="37"/>
        <v>0.22056833558863329</v>
      </c>
      <c r="Q194" s="5">
        <f t="shared" si="38"/>
        <v>1.5994587280108254</v>
      </c>
      <c r="R194" s="5">
        <f t="shared" si="39"/>
        <v>73.900000000000006</v>
      </c>
      <c r="S194" s="5">
        <f t="shared" si="40"/>
        <v>10.8</v>
      </c>
      <c r="T194" s="5">
        <f t="shared" si="41"/>
        <v>65</v>
      </c>
      <c r="U194" s="5">
        <f t="shared" si="42"/>
        <v>5.6833558863328415E-4</v>
      </c>
      <c r="V194" s="5">
        <f t="shared" si="43"/>
        <v>-5.4127198917464092E-4</v>
      </c>
      <c r="W194" s="5">
        <f t="shared" si="44"/>
        <v>0</v>
      </c>
      <c r="X194" s="5">
        <f t="shared" si="45"/>
        <v>0</v>
      </c>
      <c r="Y194" s="5">
        <f t="shared" si="46"/>
        <v>0</v>
      </c>
    </row>
    <row r="195" spans="1:25" x14ac:dyDescent="0.3">
      <c r="A195" s="1">
        <v>193</v>
      </c>
      <c r="B195" t="s">
        <v>204</v>
      </c>
      <c r="C195" t="s">
        <v>170</v>
      </c>
      <c r="D195">
        <v>0.3</v>
      </c>
      <c r="E195">
        <v>1</v>
      </c>
      <c r="F195">
        <v>55</v>
      </c>
      <c r="G195">
        <v>15</v>
      </c>
      <c r="H195">
        <v>45</v>
      </c>
      <c r="I195" s="4">
        <f t="shared" si="47"/>
        <v>0.3</v>
      </c>
      <c r="J195" s="4">
        <f t="shared" si="48"/>
        <v>1</v>
      </c>
      <c r="K195" s="4">
        <f t="shared" si="49"/>
        <v>55</v>
      </c>
      <c r="L195" s="4">
        <f t="shared" si="50"/>
        <v>15</v>
      </c>
      <c r="M195" s="4">
        <f t="shared" ref="M195:M223" si="51">MROUND(H195,5)</f>
        <v>45</v>
      </c>
      <c r="N195" s="3">
        <f t="shared" ref="N195:N223" si="52">ROUND(I195*K195,1)</f>
        <v>16.5</v>
      </c>
      <c r="O195" s="3">
        <f t="shared" ref="O195:O223" si="53">ROUND(J195*K195,1)</f>
        <v>55</v>
      </c>
      <c r="P195" s="5">
        <f t="shared" ref="P195:P223" si="54">N195/K195</f>
        <v>0.3</v>
      </c>
      <c r="Q195" s="5">
        <f t="shared" ref="Q195:Q223" si="55">O195/K195</f>
        <v>1</v>
      </c>
      <c r="R195" s="5">
        <f t="shared" ref="R195:R223" si="56">K195</f>
        <v>55</v>
      </c>
      <c r="S195" s="5">
        <f t="shared" ref="S195:S223" si="57">L195</f>
        <v>15</v>
      </c>
      <c r="T195" s="5">
        <f t="shared" ref="T195:T223" si="58">M195</f>
        <v>45</v>
      </c>
      <c r="U195" s="5">
        <f t="shared" ref="U195:U223" si="59">P195-D195</f>
        <v>0</v>
      </c>
      <c r="V195" s="5">
        <f t="shared" ref="V195:V223" si="60">Q195-E195</f>
        <v>0</v>
      </c>
      <c r="W195" s="5">
        <f t="shared" ref="W195:W223" si="61">R195-F195</f>
        <v>0</v>
      </c>
      <c r="X195" s="5">
        <f t="shared" ref="X195:X223" si="62">S195-G195</f>
        <v>0</v>
      </c>
      <c r="Y195" s="5">
        <f t="shared" ref="Y195:Y223" si="63">T195-H195</f>
        <v>0</v>
      </c>
    </row>
    <row r="196" spans="1:25" x14ac:dyDescent="0.3">
      <c r="A196" s="1">
        <v>194</v>
      </c>
      <c r="B196" t="s">
        <v>205</v>
      </c>
      <c r="C196" t="s">
        <v>170</v>
      </c>
      <c r="D196">
        <v>0.22</v>
      </c>
      <c r="E196">
        <v>1.6</v>
      </c>
      <c r="F196">
        <v>73.900000000000006</v>
      </c>
      <c r="G196">
        <v>19.2</v>
      </c>
      <c r="H196">
        <v>25</v>
      </c>
      <c r="I196" s="4">
        <f t="shared" si="47"/>
        <v>0.22</v>
      </c>
      <c r="J196" s="4">
        <f t="shared" si="48"/>
        <v>1.6</v>
      </c>
      <c r="K196" s="4">
        <f t="shared" si="49"/>
        <v>73.900000000000006</v>
      </c>
      <c r="L196" s="4">
        <f t="shared" si="50"/>
        <v>19.2</v>
      </c>
      <c r="M196" s="4">
        <f t="shared" si="51"/>
        <v>25</v>
      </c>
      <c r="N196" s="3">
        <f t="shared" si="52"/>
        <v>16.3</v>
      </c>
      <c r="O196" s="3">
        <f t="shared" si="53"/>
        <v>118.2</v>
      </c>
      <c r="P196" s="5">
        <f t="shared" si="54"/>
        <v>0.22056833558863329</v>
      </c>
      <c r="Q196" s="5">
        <f t="shared" si="55"/>
        <v>1.5994587280108254</v>
      </c>
      <c r="R196" s="5">
        <f t="shared" si="56"/>
        <v>73.900000000000006</v>
      </c>
      <c r="S196" s="5">
        <f t="shared" si="57"/>
        <v>19.2</v>
      </c>
      <c r="T196" s="5">
        <f t="shared" si="58"/>
        <v>25</v>
      </c>
      <c r="U196" s="5">
        <f t="shared" si="59"/>
        <v>5.6833558863328415E-4</v>
      </c>
      <c r="V196" s="5">
        <f t="shared" si="60"/>
        <v>-5.4127198917464092E-4</v>
      </c>
      <c r="W196" s="5">
        <f t="shared" si="61"/>
        <v>0</v>
      </c>
      <c r="X196" s="5">
        <f t="shared" si="62"/>
        <v>0</v>
      </c>
      <c r="Y196" s="5">
        <f t="shared" si="63"/>
        <v>0</v>
      </c>
    </row>
    <row r="197" spans="1:25" x14ac:dyDescent="0.3">
      <c r="A197" s="1">
        <v>195</v>
      </c>
      <c r="B197" t="s">
        <v>206</v>
      </c>
      <c r="C197" t="s">
        <v>170</v>
      </c>
      <c r="D197">
        <v>0.22</v>
      </c>
      <c r="E197">
        <v>2.4</v>
      </c>
      <c r="F197">
        <v>36.1</v>
      </c>
      <c r="G197">
        <v>10.8</v>
      </c>
      <c r="H197">
        <v>25</v>
      </c>
      <c r="I197" s="4">
        <f t="shared" si="47"/>
        <v>0.22</v>
      </c>
      <c r="J197" s="4">
        <f t="shared" si="48"/>
        <v>2.4</v>
      </c>
      <c r="K197" s="4">
        <f t="shared" si="49"/>
        <v>36.1</v>
      </c>
      <c r="L197" s="4">
        <f t="shared" si="50"/>
        <v>10.8</v>
      </c>
      <c r="M197" s="4">
        <f t="shared" si="51"/>
        <v>25</v>
      </c>
      <c r="N197" s="3">
        <f t="shared" si="52"/>
        <v>7.9</v>
      </c>
      <c r="O197" s="3">
        <f t="shared" si="53"/>
        <v>86.6</v>
      </c>
      <c r="P197" s="5">
        <f t="shared" si="54"/>
        <v>0.2188365650969529</v>
      </c>
      <c r="Q197" s="5">
        <f t="shared" si="55"/>
        <v>2.3988919667590025</v>
      </c>
      <c r="R197" s="5">
        <f t="shared" si="56"/>
        <v>36.1</v>
      </c>
      <c r="S197" s="5">
        <f t="shared" si="57"/>
        <v>10.8</v>
      </c>
      <c r="T197" s="5">
        <f t="shared" si="58"/>
        <v>25</v>
      </c>
      <c r="U197" s="5">
        <f t="shared" si="59"/>
        <v>-1.1634349030471003E-3</v>
      </c>
      <c r="V197" s="5">
        <f t="shared" si="60"/>
        <v>-1.108033240997397E-3</v>
      </c>
      <c r="W197" s="5">
        <f t="shared" si="61"/>
        <v>0</v>
      </c>
      <c r="X197" s="5">
        <f t="shared" si="62"/>
        <v>0</v>
      </c>
      <c r="Y197" s="5">
        <f t="shared" si="63"/>
        <v>0</v>
      </c>
    </row>
    <row r="198" spans="1:25" x14ac:dyDescent="0.3">
      <c r="A198" s="1">
        <v>196</v>
      </c>
      <c r="B198" t="s">
        <v>207</v>
      </c>
      <c r="C198" t="s">
        <v>170</v>
      </c>
      <c r="D198">
        <v>0.22</v>
      </c>
      <c r="E198">
        <v>2.4</v>
      </c>
      <c r="F198">
        <v>73.900000000000006</v>
      </c>
      <c r="G198">
        <v>19.2</v>
      </c>
      <c r="H198">
        <v>25</v>
      </c>
      <c r="I198" s="4">
        <f t="shared" si="47"/>
        <v>0.22</v>
      </c>
      <c r="J198" s="4">
        <f t="shared" si="48"/>
        <v>2.4</v>
      </c>
      <c r="K198" s="4">
        <f t="shared" si="49"/>
        <v>73.900000000000006</v>
      </c>
      <c r="L198" s="4">
        <f t="shared" si="50"/>
        <v>19.2</v>
      </c>
      <c r="M198" s="4">
        <f t="shared" si="51"/>
        <v>25</v>
      </c>
      <c r="N198" s="3">
        <f t="shared" si="52"/>
        <v>16.3</v>
      </c>
      <c r="O198" s="3">
        <f t="shared" si="53"/>
        <v>177.4</v>
      </c>
      <c r="P198" s="5">
        <f t="shared" si="54"/>
        <v>0.22056833558863329</v>
      </c>
      <c r="Q198" s="5">
        <f t="shared" si="55"/>
        <v>2.4005412719891743</v>
      </c>
      <c r="R198" s="5">
        <f t="shared" si="56"/>
        <v>73.900000000000006</v>
      </c>
      <c r="S198" s="5">
        <f t="shared" si="57"/>
        <v>19.2</v>
      </c>
      <c r="T198" s="5">
        <f t="shared" si="58"/>
        <v>25</v>
      </c>
      <c r="U198" s="5">
        <f t="shared" si="59"/>
        <v>5.6833558863328415E-4</v>
      </c>
      <c r="V198" s="5">
        <f t="shared" si="60"/>
        <v>5.4127198917441888E-4</v>
      </c>
      <c r="W198" s="5">
        <f t="shared" si="61"/>
        <v>0</v>
      </c>
      <c r="X198" s="5">
        <f t="shared" si="62"/>
        <v>0</v>
      </c>
      <c r="Y198" s="5">
        <f t="shared" si="63"/>
        <v>0</v>
      </c>
    </row>
    <row r="199" spans="1:25" x14ac:dyDescent="0.3">
      <c r="A199" s="1">
        <v>197</v>
      </c>
      <c r="B199" t="s">
        <v>208</v>
      </c>
      <c r="C199" t="s">
        <v>170</v>
      </c>
      <c r="D199">
        <v>0.22</v>
      </c>
      <c r="E199">
        <v>2.4</v>
      </c>
      <c r="F199">
        <v>73.900000000000006</v>
      </c>
      <c r="G199">
        <v>19.2</v>
      </c>
      <c r="H199">
        <v>65</v>
      </c>
      <c r="I199" s="4">
        <f t="shared" si="47"/>
        <v>0.22</v>
      </c>
      <c r="J199" s="4">
        <f t="shared" si="48"/>
        <v>2.4</v>
      </c>
      <c r="K199" s="4">
        <f t="shared" si="49"/>
        <v>73.900000000000006</v>
      </c>
      <c r="L199" s="4">
        <f t="shared" si="50"/>
        <v>19.2</v>
      </c>
      <c r="M199" s="4">
        <f t="shared" si="51"/>
        <v>65</v>
      </c>
      <c r="N199" s="3">
        <f t="shared" si="52"/>
        <v>16.3</v>
      </c>
      <c r="O199" s="3">
        <f t="shared" si="53"/>
        <v>177.4</v>
      </c>
      <c r="P199" s="5">
        <f t="shared" si="54"/>
        <v>0.22056833558863329</v>
      </c>
      <c r="Q199" s="5">
        <f t="shared" si="55"/>
        <v>2.4005412719891743</v>
      </c>
      <c r="R199" s="5">
        <f t="shared" si="56"/>
        <v>73.900000000000006</v>
      </c>
      <c r="S199" s="5">
        <f t="shared" si="57"/>
        <v>19.2</v>
      </c>
      <c r="T199" s="5">
        <f t="shared" si="58"/>
        <v>65</v>
      </c>
      <c r="U199" s="5">
        <f t="shared" si="59"/>
        <v>5.6833558863328415E-4</v>
      </c>
      <c r="V199" s="5">
        <f t="shared" si="60"/>
        <v>5.4127198917441888E-4</v>
      </c>
      <c r="W199" s="5">
        <f t="shared" si="61"/>
        <v>0</v>
      </c>
      <c r="X199" s="5">
        <f t="shared" si="62"/>
        <v>0</v>
      </c>
      <c r="Y199" s="5">
        <f t="shared" si="63"/>
        <v>0</v>
      </c>
    </row>
    <row r="200" spans="1:25" x14ac:dyDescent="0.3">
      <c r="A200" s="1">
        <v>198</v>
      </c>
      <c r="B200" t="s">
        <v>209</v>
      </c>
      <c r="C200" t="s">
        <v>170</v>
      </c>
      <c r="D200">
        <v>0.39</v>
      </c>
      <c r="E200">
        <v>1.6</v>
      </c>
      <c r="F200">
        <v>36.1</v>
      </c>
      <c r="G200">
        <v>10.8</v>
      </c>
      <c r="H200">
        <v>65</v>
      </c>
      <c r="I200" s="4">
        <f t="shared" si="47"/>
        <v>0.39</v>
      </c>
      <c r="J200" s="4">
        <f t="shared" si="48"/>
        <v>1.6</v>
      </c>
      <c r="K200" s="4">
        <f t="shared" si="49"/>
        <v>36.1</v>
      </c>
      <c r="L200" s="4">
        <f t="shared" si="50"/>
        <v>10.8</v>
      </c>
      <c r="M200" s="4">
        <f t="shared" si="51"/>
        <v>65</v>
      </c>
      <c r="N200" s="3">
        <f t="shared" si="52"/>
        <v>14.1</v>
      </c>
      <c r="O200" s="3">
        <f t="shared" si="53"/>
        <v>57.8</v>
      </c>
      <c r="P200" s="5">
        <f t="shared" si="54"/>
        <v>0.39058171745152354</v>
      </c>
      <c r="Q200" s="5">
        <f t="shared" si="55"/>
        <v>1.601108033240997</v>
      </c>
      <c r="R200" s="5">
        <f t="shared" si="56"/>
        <v>36.1</v>
      </c>
      <c r="S200" s="5">
        <f t="shared" si="57"/>
        <v>10.8</v>
      </c>
      <c r="T200" s="5">
        <f t="shared" si="58"/>
        <v>65</v>
      </c>
      <c r="U200" s="5">
        <f t="shared" si="59"/>
        <v>5.8171745152352239E-4</v>
      </c>
      <c r="V200" s="5">
        <f t="shared" si="60"/>
        <v>1.1080332409969529E-3</v>
      </c>
      <c r="W200" s="5">
        <f t="shared" si="61"/>
        <v>0</v>
      </c>
      <c r="X200" s="5">
        <f t="shared" si="62"/>
        <v>0</v>
      </c>
      <c r="Y200" s="5">
        <f t="shared" si="63"/>
        <v>0</v>
      </c>
    </row>
    <row r="201" spans="1:25" x14ac:dyDescent="0.3">
      <c r="A201" s="1">
        <v>199</v>
      </c>
      <c r="B201" t="s">
        <v>210</v>
      </c>
      <c r="C201" t="s">
        <v>170</v>
      </c>
      <c r="D201">
        <v>0.22</v>
      </c>
      <c r="E201">
        <v>1.6</v>
      </c>
      <c r="F201">
        <v>36.1</v>
      </c>
      <c r="G201">
        <v>10.8</v>
      </c>
      <c r="H201">
        <v>65</v>
      </c>
      <c r="I201" s="4">
        <f t="shared" si="47"/>
        <v>0.22</v>
      </c>
      <c r="J201" s="4">
        <f t="shared" si="48"/>
        <v>1.6</v>
      </c>
      <c r="K201" s="4">
        <f t="shared" si="49"/>
        <v>36.1</v>
      </c>
      <c r="L201" s="4">
        <f t="shared" si="50"/>
        <v>10.8</v>
      </c>
      <c r="M201" s="4">
        <f t="shared" si="51"/>
        <v>65</v>
      </c>
      <c r="N201" s="3">
        <f t="shared" si="52"/>
        <v>7.9</v>
      </c>
      <c r="O201" s="3">
        <f t="shared" si="53"/>
        <v>57.8</v>
      </c>
      <c r="P201" s="5">
        <f t="shared" si="54"/>
        <v>0.2188365650969529</v>
      </c>
      <c r="Q201" s="5">
        <f t="shared" si="55"/>
        <v>1.601108033240997</v>
      </c>
      <c r="R201" s="5">
        <f t="shared" si="56"/>
        <v>36.1</v>
      </c>
      <c r="S201" s="5">
        <f t="shared" si="57"/>
        <v>10.8</v>
      </c>
      <c r="T201" s="5">
        <f t="shared" si="58"/>
        <v>65</v>
      </c>
      <c r="U201" s="5">
        <f t="shared" si="59"/>
        <v>-1.1634349030471003E-3</v>
      </c>
      <c r="V201" s="5">
        <f t="shared" si="60"/>
        <v>1.1080332409969529E-3</v>
      </c>
      <c r="W201" s="5">
        <f t="shared" si="61"/>
        <v>0</v>
      </c>
      <c r="X201" s="5">
        <f t="shared" si="62"/>
        <v>0</v>
      </c>
      <c r="Y201" s="5">
        <f t="shared" si="63"/>
        <v>0</v>
      </c>
    </row>
    <row r="202" spans="1:25" x14ac:dyDescent="0.3">
      <c r="A202" s="1">
        <v>200</v>
      </c>
      <c r="B202" t="s">
        <v>211</v>
      </c>
      <c r="C202" t="s">
        <v>170</v>
      </c>
      <c r="D202">
        <v>0.22</v>
      </c>
      <c r="E202">
        <v>1.6</v>
      </c>
      <c r="F202">
        <v>73.900000000000006</v>
      </c>
      <c r="G202">
        <v>19.2</v>
      </c>
      <c r="H202">
        <v>65</v>
      </c>
      <c r="I202" s="4">
        <f t="shared" si="47"/>
        <v>0.22</v>
      </c>
      <c r="J202" s="4">
        <f t="shared" si="48"/>
        <v>1.6</v>
      </c>
      <c r="K202" s="4">
        <f t="shared" si="49"/>
        <v>73.900000000000006</v>
      </c>
      <c r="L202" s="4">
        <f t="shared" si="50"/>
        <v>19.2</v>
      </c>
      <c r="M202" s="4">
        <f t="shared" si="51"/>
        <v>65</v>
      </c>
      <c r="N202" s="3">
        <f t="shared" si="52"/>
        <v>16.3</v>
      </c>
      <c r="O202" s="3">
        <f t="shared" si="53"/>
        <v>118.2</v>
      </c>
      <c r="P202" s="5">
        <f t="shared" si="54"/>
        <v>0.22056833558863329</v>
      </c>
      <c r="Q202" s="5">
        <f t="shared" si="55"/>
        <v>1.5994587280108254</v>
      </c>
      <c r="R202" s="5">
        <f t="shared" si="56"/>
        <v>73.900000000000006</v>
      </c>
      <c r="S202" s="5">
        <f t="shared" si="57"/>
        <v>19.2</v>
      </c>
      <c r="T202" s="5">
        <f t="shared" si="58"/>
        <v>65</v>
      </c>
      <c r="U202" s="5">
        <f t="shared" si="59"/>
        <v>5.6833558863328415E-4</v>
      </c>
      <c r="V202" s="5">
        <f t="shared" si="60"/>
        <v>-5.4127198917464092E-4</v>
      </c>
      <c r="W202" s="5">
        <f t="shared" si="61"/>
        <v>0</v>
      </c>
      <c r="X202" s="5">
        <f t="shared" si="62"/>
        <v>0</v>
      </c>
      <c r="Y202" s="5">
        <f t="shared" si="63"/>
        <v>0</v>
      </c>
    </row>
    <row r="203" spans="1:25" x14ac:dyDescent="0.3">
      <c r="A203" s="1">
        <v>201</v>
      </c>
      <c r="B203" t="s">
        <v>212</v>
      </c>
      <c r="C203" t="s">
        <v>170</v>
      </c>
      <c r="D203">
        <v>0.3</v>
      </c>
      <c r="E203">
        <v>2</v>
      </c>
      <c r="F203">
        <v>55</v>
      </c>
      <c r="G203">
        <v>15</v>
      </c>
      <c r="H203">
        <v>0</v>
      </c>
      <c r="I203" s="4">
        <f t="shared" si="47"/>
        <v>0.3</v>
      </c>
      <c r="J203" s="4">
        <f t="shared" si="48"/>
        <v>2</v>
      </c>
      <c r="K203" s="4">
        <f t="shared" si="49"/>
        <v>55</v>
      </c>
      <c r="L203" s="4">
        <f t="shared" si="50"/>
        <v>15</v>
      </c>
      <c r="M203" s="4">
        <f t="shared" si="51"/>
        <v>0</v>
      </c>
      <c r="N203" s="3">
        <f t="shared" si="52"/>
        <v>16.5</v>
      </c>
      <c r="O203" s="3">
        <f t="shared" si="53"/>
        <v>110</v>
      </c>
      <c r="P203" s="5">
        <f t="shared" si="54"/>
        <v>0.3</v>
      </c>
      <c r="Q203" s="5">
        <f t="shared" si="55"/>
        <v>2</v>
      </c>
      <c r="R203" s="5">
        <f t="shared" si="56"/>
        <v>55</v>
      </c>
      <c r="S203" s="5">
        <f t="shared" si="57"/>
        <v>15</v>
      </c>
      <c r="T203" s="5">
        <f t="shared" si="58"/>
        <v>0</v>
      </c>
      <c r="U203" s="5">
        <f t="shared" si="59"/>
        <v>0</v>
      </c>
      <c r="V203" s="5">
        <f t="shared" si="60"/>
        <v>0</v>
      </c>
      <c r="W203" s="5">
        <f t="shared" si="61"/>
        <v>0</v>
      </c>
      <c r="X203" s="5">
        <f t="shared" si="62"/>
        <v>0</v>
      </c>
      <c r="Y203" s="5">
        <f t="shared" si="63"/>
        <v>0</v>
      </c>
    </row>
    <row r="204" spans="1:25" x14ac:dyDescent="0.3">
      <c r="A204" s="1">
        <v>202</v>
      </c>
      <c r="B204" t="s">
        <v>213</v>
      </c>
      <c r="C204" t="s">
        <v>12</v>
      </c>
      <c r="D204">
        <v>0.35</v>
      </c>
      <c r="E204">
        <v>1.6</v>
      </c>
      <c r="F204">
        <v>61.8</v>
      </c>
      <c r="G204">
        <v>20.2</v>
      </c>
      <c r="H204">
        <v>25</v>
      </c>
      <c r="I204" s="4">
        <f t="shared" si="47"/>
        <v>0.35</v>
      </c>
      <c r="J204" s="4">
        <f t="shared" si="48"/>
        <v>1.6</v>
      </c>
      <c r="K204" s="4">
        <f t="shared" si="49"/>
        <v>61.8</v>
      </c>
      <c r="L204" s="4">
        <f t="shared" si="50"/>
        <v>20.2</v>
      </c>
      <c r="M204" s="4">
        <f t="shared" si="51"/>
        <v>25</v>
      </c>
      <c r="N204" s="3">
        <f t="shared" si="52"/>
        <v>21.6</v>
      </c>
      <c r="O204" s="3">
        <f t="shared" si="53"/>
        <v>98.9</v>
      </c>
      <c r="P204" s="5">
        <f t="shared" si="54"/>
        <v>0.34951456310679618</v>
      </c>
      <c r="Q204" s="5">
        <f t="shared" si="55"/>
        <v>1.6003236245954695</v>
      </c>
      <c r="R204" s="5">
        <f t="shared" si="56"/>
        <v>61.8</v>
      </c>
      <c r="S204" s="5">
        <f t="shared" si="57"/>
        <v>20.2</v>
      </c>
      <c r="T204" s="5">
        <f t="shared" si="58"/>
        <v>25</v>
      </c>
      <c r="U204" s="5">
        <f t="shared" si="59"/>
        <v>-4.8543689320379446E-4</v>
      </c>
      <c r="V204" s="5">
        <f t="shared" si="60"/>
        <v>3.2362459546941835E-4</v>
      </c>
      <c r="W204" s="5">
        <f t="shared" si="61"/>
        <v>0</v>
      </c>
      <c r="X204" s="5">
        <f t="shared" si="62"/>
        <v>0</v>
      </c>
      <c r="Y204" s="5">
        <f t="shared" si="63"/>
        <v>0</v>
      </c>
    </row>
    <row r="205" spans="1:25" x14ac:dyDescent="0.3">
      <c r="A205" s="1">
        <v>203</v>
      </c>
      <c r="B205" t="s">
        <v>214</v>
      </c>
      <c r="C205" t="s">
        <v>12</v>
      </c>
      <c r="D205">
        <v>0.17</v>
      </c>
      <c r="E205">
        <v>2.6</v>
      </c>
      <c r="F205">
        <v>25.5</v>
      </c>
      <c r="G205">
        <v>19.100000000000001</v>
      </c>
      <c r="H205">
        <v>35</v>
      </c>
      <c r="I205" s="4">
        <f t="shared" si="47"/>
        <v>0.17</v>
      </c>
      <c r="J205" s="4">
        <f t="shared" si="48"/>
        <v>2.6</v>
      </c>
      <c r="K205" s="4">
        <f t="shared" si="49"/>
        <v>25.5</v>
      </c>
      <c r="L205" s="4">
        <f t="shared" si="50"/>
        <v>19.100000000000001</v>
      </c>
      <c r="M205" s="4">
        <f t="shared" si="51"/>
        <v>35</v>
      </c>
      <c r="N205" s="3">
        <f t="shared" si="52"/>
        <v>4.3</v>
      </c>
      <c r="O205" s="3">
        <f t="shared" si="53"/>
        <v>66.3</v>
      </c>
      <c r="P205" s="5">
        <f t="shared" si="54"/>
        <v>0.16862745098039214</v>
      </c>
      <c r="Q205" s="5">
        <f t="shared" si="55"/>
        <v>2.6</v>
      </c>
      <c r="R205" s="5">
        <f t="shared" si="56"/>
        <v>25.5</v>
      </c>
      <c r="S205" s="5">
        <f t="shared" si="57"/>
        <v>19.100000000000001</v>
      </c>
      <c r="T205" s="5">
        <f t="shared" si="58"/>
        <v>35</v>
      </c>
      <c r="U205" s="5">
        <f t="shared" si="59"/>
        <v>-1.3725490196078716E-3</v>
      </c>
      <c r="V205" s="5">
        <f t="shared" si="60"/>
        <v>0</v>
      </c>
      <c r="W205" s="5">
        <f t="shared" si="61"/>
        <v>0</v>
      </c>
      <c r="X205" s="5">
        <f t="shared" si="62"/>
        <v>0</v>
      </c>
      <c r="Y205" s="5">
        <f t="shared" si="63"/>
        <v>0</v>
      </c>
    </row>
    <row r="206" spans="1:25" x14ac:dyDescent="0.3">
      <c r="A206" s="1">
        <v>204</v>
      </c>
      <c r="B206" t="s">
        <v>215</v>
      </c>
      <c r="C206" t="s">
        <v>12</v>
      </c>
      <c r="D206">
        <v>0.38</v>
      </c>
      <c r="E206">
        <v>2.7</v>
      </c>
      <c r="F206">
        <v>92.7</v>
      </c>
      <c r="G206">
        <v>24.3</v>
      </c>
      <c r="H206">
        <v>80</v>
      </c>
      <c r="I206" s="4">
        <f t="shared" si="47"/>
        <v>0.38</v>
      </c>
      <c r="J206" s="4">
        <f t="shared" si="48"/>
        <v>2.7</v>
      </c>
      <c r="K206" s="4">
        <f t="shared" si="49"/>
        <v>92.7</v>
      </c>
      <c r="L206" s="4">
        <f t="shared" si="50"/>
        <v>24.3</v>
      </c>
      <c r="M206" s="4">
        <f t="shared" si="51"/>
        <v>80</v>
      </c>
      <c r="N206" s="3">
        <f t="shared" si="52"/>
        <v>35.200000000000003</v>
      </c>
      <c r="O206" s="3">
        <f t="shared" si="53"/>
        <v>250.3</v>
      </c>
      <c r="P206" s="5">
        <f t="shared" si="54"/>
        <v>0.37971952535059333</v>
      </c>
      <c r="Q206" s="5">
        <f t="shared" si="55"/>
        <v>2.7001078748651564</v>
      </c>
      <c r="R206" s="5">
        <f t="shared" si="56"/>
        <v>92.7</v>
      </c>
      <c r="S206" s="5">
        <f t="shared" si="57"/>
        <v>24.3</v>
      </c>
      <c r="T206" s="5">
        <f t="shared" si="58"/>
        <v>80</v>
      </c>
      <c r="U206" s="5">
        <f t="shared" si="59"/>
        <v>-2.8047464940667011E-4</v>
      </c>
      <c r="V206" s="5">
        <f t="shared" si="60"/>
        <v>1.0787486515617672E-4</v>
      </c>
      <c r="W206" s="5">
        <f t="shared" si="61"/>
        <v>0</v>
      </c>
      <c r="X206" s="5">
        <f t="shared" si="62"/>
        <v>0</v>
      </c>
      <c r="Y206" s="5">
        <f t="shared" si="63"/>
        <v>0</v>
      </c>
    </row>
    <row r="207" spans="1:25" x14ac:dyDescent="0.3">
      <c r="A207" s="1">
        <v>205</v>
      </c>
      <c r="B207" t="s">
        <v>216</v>
      </c>
      <c r="C207" t="s">
        <v>12</v>
      </c>
      <c r="D207">
        <v>0.48</v>
      </c>
      <c r="E207">
        <v>1.1000000000000001</v>
      </c>
      <c r="F207">
        <v>64.7</v>
      </c>
      <c r="G207">
        <v>5.6</v>
      </c>
      <c r="H207">
        <v>20</v>
      </c>
      <c r="I207" s="4">
        <f t="shared" si="47"/>
        <v>0.48</v>
      </c>
      <c r="J207" s="4">
        <f t="shared" si="48"/>
        <v>1.1000000000000001</v>
      </c>
      <c r="K207" s="4">
        <f t="shared" si="49"/>
        <v>64.7</v>
      </c>
      <c r="L207" s="4">
        <f t="shared" si="50"/>
        <v>5.6</v>
      </c>
      <c r="M207" s="4">
        <f t="shared" si="51"/>
        <v>20</v>
      </c>
      <c r="N207" s="3">
        <f t="shared" si="52"/>
        <v>31.1</v>
      </c>
      <c r="O207" s="3">
        <f t="shared" si="53"/>
        <v>71.2</v>
      </c>
      <c r="P207" s="5">
        <f t="shared" si="54"/>
        <v>0.48068006182380218</v>
      </c>
      <c r="Q207" s="5">
        <f t="shared" si="55"/>
        <v>1.1004636785162287</v>
      </c>
      <c r="R207" s="5">
        <f t="shared" si="56"/>
        <v>64.7</v>
      </c>
      <c r="S207" s="5">
        <f t="shared" si="57"/>
        <v>5.6</v>
      </c>
      <c r="T207" s="5">
        <f t="shared" si="58"/>
        <v>20</v>
      </c>
      <c r="U207" s="5">
        <f t="shared" si="59"/>
        <v>6.800618238022027E-4</v>
      </c>
      <c r="V207" s="5">
        <f t="shared" si="60"/>
        <v>4.6367851622863832E-4</v>
      </c>
      <c r="W207" s="5">
        <f t="shared" si="61"/>
        <v>0</v>
      </c>
      <c r="X207" s="5">
        <f t="shared" si="62"/>
        <v>0</v>
      </c>
      <c r="Y207" s="5">
        <f t="shared" si="63"/>
        <v>0</v>
      </c>
    </row>
    <row r="208" spans="1:25" x14ac:dyDescent="0.3">
      <c r="A208" s="1">
        <v>206</v>
      </c>
      <c r="B208" t="s">
        <v>217</v>
      </c>
      <c r="C208" t="s">
        <v>12</v>
      </c>
      <c r="D208">
        <v>0.25</v>
      </c>
      <c r="E208">
        <v>2.1</v>
      </c>
      <c r="F208">
        <v>89.7</v>
      </c>
      <c r="G208">
        <v>12.8</v>
      </c>
      <c r="H208">
        <v>55</v>
      </c>
      <c r="I208" s="4">
        <f t="shared" si="47"/>
        <v>0.25</v>
      </c>
      <c r="J208" s="4">
        <f t="shared" si="48"/>
        <v>2.1</v>
      </c>
      <c r="K208" s="4">
        <f t="shared" si="49"/>
        <v>89.7</v>
      </c>
      <c r="L208" s="4">
        <f t="shared" si="50"/>
        <v>12.8</v>
      </c>
      <c r="M208" s="4">
        <f t="shared" si="51"/>
        <v>55</v>
      </c>
      <c r="N208" s="3">
        <f t="shared" si="52"/>
        <v>22.4</v>
      </c>
      <c r="O208" s="3">
        <f t="shared" si="53"/>
        <v>188.4</v>
      </c>
      <c r="P208" s="5">
        <f t="shared" si="54"/>
        <v>0.24972129319955405</v>
      </c>
      <c r="Q208" s="5">
        <f t="shared" si="55"/>
        <v>2.1003344481605351</v>
      </c>
      <c r="R208" s="5">
        <f t="shared" si="56"/>
        <v>89.7</v>
      </c>
      <c r="S208" s="5">
        <f t="shared" si="57"/>
        <v>12.8</v>
      </c>
      <c r="T208" s="5">
        <f t="shared" si="58"/>
        <v>55</v>
      </c>
      <c r="U208" s="5">
        <f t="shared" si="59"/>
        <v>-2.787068004459492E-4</v>
      </c>
      <c r="V208" s="5">
        <f t="shared" si="60"/>
        <v>3.344481605349614E-4</v>
      </c>
      <c r="W208" s="5">
        <f t="shared" si="61"/>
        <v>0</v>
      </c>
      <c r="X208" s="5">
        <f t="shared" si="62"/>
        <v>0</v>
      </c>
      <c r="Y208" s="5">
        <f t="shared" si="63"/>
        <v>0</v>
      </c>
    </row>
    <row r="209" spans="1:25" x14ac:dyDescent="0.3">
      <c r="A209" s="1">
        <v>207</v>
      </c>
      <c r="B209" t="s">
        <v>218</v>
      </c>
      <c r="C209" t="s">
        <v>12</v>
      </c>
      <c r="D209">
        <v>0.21</v>
      </c>
      <c r="E209">
        <v>1.8</v>
      </c>
      <c r="F209">
        <v>57.8</v>
      </c>
      <c r="G209">
        <v>21.6</v>
      </c>
      <c r="H209">
        <v>10</v>
      </c>
      <c r="I209" s="4">
        <f t="shared" si="47"/>
        <v>0.21</v>
      </c>
      <c r="J209" s="4">
        <f t="shared" si="48"/>
        <v>1.8</v>
      </c>
      <c r="K209" s="4">
        <f t="shared" si="49"/>
        <v>57.8</v>
      </c>
      <c r="L209" s="4">
        <f t="shared" si="50"/>
        <v>21.6</v>
      </c>
      <c r="M209" s="4">
        <f t="shared" si="51"/>
        <v>10</v>
      </c>
      <c r="N209" s="3">
        <f t="shared" si="52"/>
        <v>12.1</v>
      </c>
      <c r="O209" s="3">
        <f t="shared" si="53"/>
        <v>104</v>
      </c>
      <c r="P209" s="5">
        <f t="shared" si="54"/>
        <v>0.20934256055363323</v>
      </c>
      <c r="Q209" s="5">
        <f t="shared" si="55"/>
        <v>1.7993079584775087</v>
      </c>
      <c r="R209" s="5">
        <f t="shared" si="56"/>
        <v>57.8</v>
      </c>
      <c r="S209" s="5">
        <f t="shared" si="57"/>
        <v>21.6</v>
      </c>
      <c r="T209" s="5">
        <f t="shared" si="58"/>
        <v>10</v>
      </c>
      <c r="U209" s="5">
        <f t="shared" si="59"/>
        <v>-6.5743944636675877E-4</v>
      </c>
      <c r="V209" s="5">
        <f t="shared" si="60"/>
        <v>-6.9204152249136008E-4</v>
      </c>
      <c r="W209" s="5">
        <f t="shared" si="61"/>
        <v>0</v>
      </c>
      <c r="X209" s="5">
        <f t="shared" si="62"/>
        <v>0</v>
      </c>
      <c r="Y209" s="5">
        <f t="shared" si="63"/>
        <v>0</v>
      </c>
    </row>
    <row r="210" spans="1:25" x14ac:dyDescent="0.3">
      <c r="A210" s="1">
        <v>208</v>
      </c>
      <c r="B210" t="s">
        <v>219</v>
      </c>
      <c r="C210" t="s">
        <v>12</v>
      </c>
      <c r="D210">
        <v>0.24</v>
      </c>
      <c r="E210">
        <v>1.5</v>
      </c>
      <c r="F210">
        <v>52.9</v>
      </c>
      <c r="G210">
        <v>13</v>
      </c>
      <c r="H210">
        <v>35</v>
      </c>
      <c r="I210" s="4">
        <f t="shared" si="47"/>
        <v>0.24</v>
      </c>
      <c r="J210" s="4">
        <f t="shared" si="48"/>
        <v>1.5</v>
      </c>
      <c r="K210" s="4">
        <f t="shared" si="49"/>
        <v>52.9</v>
      </c>
      <c r="L210" s="4">
        <f t="shared" si="50"/>
        <v>13</v>
      </c>
      <c r="M210" s="4">
        <f t="shared" si="51"/>
        <v>35</v>
      </c>
      <c r="N210" s="3">
        <f t="shared" si="52"/>
        <v>12.7</v>
      </c>
      <c r="O210" s="3">
        <f t="shared" si="53"/>
        <v>79.400000000000006</v>
      </c>
      <c r="P210" s="5">
        <f t="shared" si="54"/>
        <v>0.24007561436672967</v>
      </c>
      <c r="Q210" s="5">
        <f t="shared" si="55"/>
        <v>1.5009451795841211</v>
      </c>
      <c r="R210" s="5">
        <f t="shared" si="56"/>
        <v>52.9</v>
      </c>
      <c r="S210" s="5">
        <f t="shared" si="57"/>
        <v>13</v>
      </c>
      <c r="T210" s="5">
        <f t="shared" si="58"/>
        <v>35</v>
      </c>
      <c r="U210" s="5">
        <f t="shared" si="59"/>
        <v>7.561436672967603E-5</v>
      </c>
      <c r="V210" s="5">
        <f t="shared" si="60"/>
        <v>9.4517958412110303E-4</v>
      </c>
      <c r="W210" s="5">
        <f t="shared" si="61"/>
        <v>0</v>
      </c>
      <c r="X210" s="5">
        <f t="shared" si="62"/>
        <v>0</v>
      </c>
      <c r="Y210" s="5">
        <f t="shared" si="63"/>
        <v>0</v>
      </c>
    </row>
    <row r="211" spans="1:25" x14ac:dyDescent="0.3">
      <c r="A211" s="1">
        <v>209</v>
      </c>
      <c r="B211" t="s">
        <v>220</v>
      </c>
      <c r="C211" t="s">
        <v>12</v>
      </c>
      <c r="D211">
        <v>0.26</v>
      </c>
      <c r="E211">
        <v>1.9</v>
      </c>
      <c r="F211">
        <v>71.400000000000006</v>
      </c>
      <c r="G211">
        <v>14.3</v>
      </c>
      <c r="H211">
        <v>15</v>
      </c>
      <c r="I211" s="4">
        <f t="shared" si="47"/>
        <v>0.26</v>
      </c>
      <c r="J211" s="4">
        <f t="shared" si="48"/>
        <v>1.9</v>
      </c>
      <c r="K211" s="4">
        <f t="shared" si="49"/>
        <v>71.400000000000006</v>
      </c>
      <c r="L211" s="4">
        <f t="shared" si="50"/>
        <v>14.3</v>
      </c>
      <c r="M211" s="4">
        <f t="shared" si="51"/>
        <v>15</v>
      </c>
      <c r="N211" s="3">
        <f t="shared" si="52"/>
        <v>18.600000000000001</v>
      </c>
      <c r="O211" s="3">
        <f t="shared" si="53"/>
        <v>135.69999999999999</v>
      </c>
      <c r="P211" s="5">
        <f t="shared" si="54"/>
        <v>0.26050420168067229</v>
      </c>
      <c r="Q211" s="5">
        <f t="shared" si="55"/>
        <v>1.9005602240896355</v>
      </c>
      <c r="R211" s="5">
        <f t="shared" si="56"/>
        <v>71.400000000000006</v>
      </c>
      <c r="S211" s="5">
        <f t="shared" si="57"/>
        <v>14.3</v>
      </c>
      <c r="T211" s="5">
        <f t="shared" si="58"/>
        <v>15</v>
      </c>
      <c r="U211" s="5">
        <f t="shared" si="59"/>
        <v>5.0420168067227822E-4</v>
      </c>
      <c r="V211" s="5">
        <f t="shared" si="60"/>
        <v>5.6022408963563031E-4</v>
      </c>
      <c r="W211" s="5">
        <f t="shared" si="61"/>
        <v>0</v>
      </c>
      <c r="X211" s="5">
        <f t="shared" si="62"/>
        <v>0</v>
      </c>
      <c r="Y211" s="5">
        <f t="shared" si="63"/>
        <v>0</v>
      </c>
    </row>
    <row r="212" spans="1:25" x14ac:dyDescent="0.3">
      <c r="A212" s="1">
        <v>210</v>
      </c>
      <c r="B212" t="s">
        <v>221</v>
      </c>
      <c r="C212" t="s">
        <v>12</v>
      </c>
      <c r="D212">
        <v>0.32</v>
      </c>
      <c r="E212">
        <v>1.4</v>
      </c>
      <c r="F212">
        <v>99.1</v>
      </c>
      <c r="G212">
        <v>23.4</v>
      </c>
      <c r="H212">
        <v>0</v>
      </c>
      <c r="I212" s="4">
        <f t="shared" si="47"/>
        <v>0.32</v>
      </c>
      <c r="J212" s="4">
        <f t="shared" si="48"/>
        <v>1.4</v>
      </c>
      <c r="K212" s="4">
        <f t="shared" si="49"/>
        <v>99.1</v>
      </c>
      <c r="L212" s="4">
        <f t="shared" si="50"/>
        <v>23.4</v>
      </c>
      <c r="M212" s="4">
        <f t="shared" si="51"/>
        <v>0</v>
      </c>
      <c r="N212" s="3">
        <f t="shared" si="52"/>
        <v>31.7</v>
      </c>
      <c r="O212" s="3">
        <f t="shared" si="53"/>
        <v>138.69999999999999</v>
      </c>
      <c r="P212" s="5">
        <f t="shared" si="54"/>
        <v>0.31987891019172554</v>
      </c>
      <c r="Q212" s="5">
        <f t="shared" si="55"/>
        <v>1.3995963673057517</v>
      </c>
      <c r="R212" s="5">
        <f t="shared" si="56"/>
        <v>99.1</v>
      </c>
      <c r="S212" s="5">
        <f t="shared" si="57"/>
        <v>23.4</v>
      </c>
      <c r="T212" s="5">
        <f t="shared" si="58"/>
        <v>0</v>
      </c>
      <c r="U212" s="5">
        <f t="shared" si="59"/>
        <v>-1.2108980827446603E-4</v>
      </c>
      <c r="V212" s="5">
        <f t="shared" si="60"/>
        <v>-4.036326942482571E-4</v>
      </c>
      <c r="W212" s="5">
        <f t="shared" si="61"/>
        <v>0</v>
      </c>
      <c r="X212" s="5">
        <f t="shared" si="62"/>
        <v>0</v>
      </c>
      <c r="Y212" s="5">
        <f t="shared" si="63"/>
        <v>0</v>
      </c>
    </row>
    <row r="213" spans="1:25" x14ac:dyDescent="0.3">
      <c r="A213" s="1">
        <v>211</v>
      </c>
      <c r="B213" t="s">
        <v>222</v>
      </c>
      <c r="C213" t="s">
        <v>12</v>
      </c>
      <c r="D213">
        <v>0.14000000000000001</v>
      </c>
      <c r="E213">
        <v>2.8</v>
      </c>
      <c r="F213">
        <v>21.9</v>
      </c>
      <c r="G213">
        <v>7.8</v>
      </c>
      <c r="H213">
        <v>90</v>
      </c>
      <c r="I213" s="4">
        <f t="shared" si="47"/>
        <v>0.14000000000000001</v>
      </c>
      <c r="J213" s="4">
        <f t="shared" si="48"/>
        <v>2.8</v>
      </c>
      <c r="K213" s="4">
        <f t="shared" si="49"/>
        <v>21.9</v>
      </c>
      <c r="L213" s="4">
        <f t="shared" si="50"/>
        <v>7.8</v>
      </c>
      <c r="M213" s="4">
        <f t="shared" si="51"/>
        <v>90</v>
      </c>
      <c r="N213" s="3">
        <f t="shared" si="52"/>
        <v>3.1</v>
      </c>
      <c r="O213" s="3">
        <f t="shared" si="53"/>
        <v>61.3</v>
      </c>
      <c r="P213" s="5">
        <f t="shared" si="54"/>
        <v>0.14155251141552513</v>
      </c>
      <c r="Q213" s="5">
        <f t="shared" si="55"/>
        <v>2.7990867579908678</v>
      </c>
      <c r="R213" s="5">
        <f t="shared" si="56"/>
        <v>21.9</v>
      </c>
      <c r="S213" s="5">
        <f t="shared" si="57"/>
        <v>7.8</v>
      </c>
      <c r="T213" s="5">
        <f t="shared" si="58"/>
        <v>90</v>
      </c>
      <c r="U213" s="5">
        <f t="shared" si="59"/>
        <v>1.5525114155251207E-3</v>
      </c>
      <c r="V213" s="5">
        <f t="shared" si="60"/>
        <v>-9.1324200913200926E-4</v>
      </c>
      <c r="W213" s="5">
        <f t="shared" si="61"/>
        <v>0</v>
      </c>
      <c r="X213" s="5">
        <f t="shared" si="62"/>
        <v>0</v>
      </c>
      <c r="Y213" s="5">
        <f t="shared" si="63"/>
        <v>0</v>
      </c>
    </row>
    <row r="214" spans="1:25" x14ac:dyDescent="0.3">
      <c r="A214" s="1">
        <v>212</v>
      </c>
      <c r="B214" t="s">
        <v>223</v>
      </c>
      <c r="C214" t="s">
        <v>12</v>
      </c>
      <c r="D214">
        <v>0.18</v>
      </c>
      <c r="E214">
        <v>2.5</v>
      </c>
      <c r="F214">
        <v>76.3</v>
      </c>
      <c r="G214">
        <v>18.3</v>
      </c>
      <c r="H214">
        <v>45</v>
      </c>
      <c r="I214" s="4">
        <f t="shared" si="47"/>
        <v>0.18</v>
      </c>
      <c r="J214" s="4">
        <f t="shared" si="48"/>
        <v>2.5</v>
      </c>
      <c r="K214" s="4">
        <f t="shared" si="49"/>
        <v>76.3</v>
      </c>
      <c r="L214" s="4">
        <f t="shared" si="50"/>
        <v>18.3</v>
      </c>
      <c r="M214" s="4">
        <f t="shared" si="51"/>
        <v>45</v>
      </c>
      <c r="N214" s="3">
        <f t="shared" si="52"/>
        <v>13.7</v>
      </c>
      <c r="O214" s="3">
        <f t="shared" si="53"/>
        <v>190.8</v>
      </c>
      <c r="P214" s="5">
        <f t="shared" si="54"/>
        <v>0.17955439056356487</v>
      </c>
      <c r="Q214" s="5">
        <f t="shared" si="55"/>
        <v>2.5006553079947578</v>
      </c>
      <c r="R214" s="5">
        <f t="shared" si="56"/>
        <v>76.3</v>
      </c>
      <c r="S214" s="5">
        <f t="shared" si="57"/>
        <v>18.3</v>
      </c>
      <c r="T214" s="5">
        <f t="shared" si="58"/>
        <v>45</v>
      </c>
      <c r="U214" s="5">
        <f t="shared" si="59"/>
        <v>-4.4560943643512374E-4</v>
      </c>
      <c r="V214" s="5">
        <f t="shared" si="60"/>
        <v>6.5530799475777002E-4</v>
      </c>
      <c r="W214" s="5">
        <f t="shared" si="61"/>
        <v>0</v>
      </c>
      <c r="X214" s="5">
        <f t="shared" si="62"/>
        <v>0</v>
      </c>
      <c r="Y214" s="5">
        <f t="shared" si="63"/>
        <v>0</v>
      </c>
    </row>
    <row r="215" spans="1:25" x14ac:dyDescent="0.3">
      <c r="A215" s="1">
        <v>213</v>
      </c>
      <c r="B215" t="s">
        <v>224</v>
      </c>
      <c r="C215" t="s">
        <v>12</v>
      </c>
      <c r="D215">
        <v>0.46</v>
      </c>
      <c r="E215">
        <v>1.7</v>
      </c>
      <c r="F215">
        <v>11.1</v>
      </c>
      <c r="G215">
        <v>17.8</v>
      </c>
      <c r="H215">
        <v>30</v>
      </c>
      <c r="I215" s="4">
        <f t="shared" si="47"/>
        <v>0.46</v>
      </c>
      <c r="J215" s="4">
        <f t="shared" si="48"/>
        <v>1.7</v>
      </c>
      <c r="K215" s="4">
        <f t="shared" si="49"/>
        <v>11.1</v>
      </c>
      <c r="L215" s="4">
        <f t="shared" si="50"/>
        <v>17.8</v>
      </c>
      <c r="M215" s="4">
        <f t="shared" si="51"/>
        <v>30</v>
      </c>
      <c r="N215" s="3">
        <f t="shared" si="52"/>
        <v>5.0999999999999996</v>
      </c>
      <c r="O215" s="3">
        <f t="shared" si="53"/>
        <v>18.899999999999999</v>
      </c>
      <c r="P215" s="5">
        <f t="shared" si="54"/>
        <v>0.45945945945945943</v>
      </c>
      <c r="Q215" s="5">
        <f t="shared" si="55"/>
        <v>1.7027027027027026</v>
      </c>
      <c r="R215" s="5">
        <f t="shared" si="56"/>
        <v>11.1</v>
      </c>
      <c r="S215" s="5">
        <f t="shared" si="57"/>
        <v>17.8</v>
      </c>
      <c r="T215" s="5">
        <f t="shared" si="58"/>
        <v>30</v>
      </c>
      <c r="U215" s="5">
        <f t="shared" si="59"/>
        <v>-5.4054054054059053E-4</v>
      </c>
      <c r="V215" s="5">
        <f t="shared" si="60"/>
        <v>2.7027027027026751E-3</v>
      </c>
      <c r="W215" s="5">
        <f t="shared" si="61"/>
        <v>0</v>
      </c>
      <c r="X215" s="5">
        <f t="shared" si="62"/>
        <v>0</v>
      </c>
      <c r="Y215" s="5">
        <f t="shared" si="63"/>
        <v>0</v>
      </c>
    </row>
    <row r="216" spans="1:25" x14ac:dyDescent="0.3">
      <c r="A216" s="1">
        <v>214</v>
      </c>
      <c r="B216" t="s">
        <v>225</v>
      </c>
      <c r="C216" t="s">
        <v>12</v>
      </c>
      <c r="D216">
        <v>0.43</v>
      </c>
      <c r="E216">
        <v>1.3</v>
      </c>
      <c r="F216">
        <v>33.200000000000003</v>
      </c>
      <c r="G216">
        <v>16</v>
      </c>
      <c r="H216">
        <v>75</v>
      </c>
      <c r="I216" s="4">
        <f t="shared" si="47"/>
        <v>0.43</v>
      </c>
      <c r="J216" s="4">
        <f t="shared" si="48"/>
        <v>1.3</v>
      </c>
      <c r="K216" s="4">
        <f t="shared" si="49"/>
        <v>33.200000000000003</v>
      </c>
      <c r="L216" s="4">
        <f t="shared" si="50"/>
        <v>16</v>
      </c>
      <c r="M216" s="4">
        <f t="shared" si="51"/>
        <v>75</v>
      </c>
      <c r="N216" s="3">
        <f t="shared" si="52"/>
        <v>14.3</v>
      </c>
      <c r="O216" s="3">
        <f t="shared" si="53"/>
        <v>43.2</v>
      </c>
      <c r="P216" s="5">
        <f t="shared" si="54"/>
        <v>0.43072289156626503</v>
      </c>
      <c r="Q216" s="5">
        <f t="shared" si="55"/>
        <v>1.3012048192771084</v>
      </c>
      <c r="R216" s="5">
        <f t="shared" si="56"/>
        <v>33.200000000000003</v>
      </c>
      <c r="S216" s="5">
        <f t="shared" si="57"/>
        <v>16</v>
      </c>
      <c r="T216" s="5">
        <f t="shared" si="58"/>
        <v>75</v>
      </c>
      <c r="U216" s="5">
        <f t="shared" si="59"/>
        <v>7.2289156626503814E-4</v>
      </c>
      <c r="V216" s="5">
        <f t="shared" si="60"/>
        <v>1.2048192771083599E-3</v>
      </c>
      <c r="W216" s="5">
        <f t="shared" si="61"/>
        <v>0</v>
      </c>
      <c r="X216" s="5">
        <f t="shared" si="62"/>
        <v>0</v>
      </c>
      <c r="Y216" s="5">
        <f t="shared" si="63"/>
        <v>0</v>
      </c>
    </row>
    <row r="217" spans="1:25" x14ac:dyDescent="0.3">
      <c r="A217" s="1">
        <v>215</v>
      </c>
      <c r="B217" t="s">
        <v>226</v>
      </c>
      <c r="C217" t="s">
        <v>12</v>
      </c>
      <c r="D217">
        <v>0.5</v>
      </c>
      <c r="E217">
        <v>1.7</v>
      </c>
      <c r="F217">
        <v>80.599999999999994</v>
      </c>
      <c r="G217">
        <v>8.9</v>
      </c>
      <c r="H217">
        <v>65</v>
      </c>
      <c r="I217" s="4">
        <f t="shared" si="47"/>
        <v>0.5</v>
      </c>
      <c r="J217" s="4">
        <f t="shared" si="48"/>
        <v>1.7</v>
      </c>
      <c r="K217" s="4">
        <f t="shared" si="49"/>
        <v>80.599999999999994</v>
      </c>
      <c r="L217" s="4">
        <f t="shared" si="50"/>
        <v>8.9</v>
      </c>
      <c r="M217" s="4">
        <f t="shared" si="51"/>
        <v>65</v>
      </c>
      <c r="N217" s="3">
        <f t="shared" si="52"/>
        <v>40.299999999999997</v>
      </c>
      <c r="O217" s="3">
        <f t="shared" si="53"/>
        <v>137</v>
      </c>
      <c r="P217" s="5">
        <f t="shared" si="54"/>
        <v>0.5</v>
      </c>
      <c r="Q217" s="5">
        <f t="shared" si="55"/>
        <v>1.6997518610421838</v>
      </c>
      <c r="R217" s="5">
        <f t="shared" si="56"/>
        <v>80.599999999999994</v>
      </c>
      <c r="S217" s="5">
        <f t="shared" si="57"/>
        <v>8.9</v>
      </c>
      <c r="T217" s="5">
        <f t="shared" si="58"/>
        <v>65</v>
      </c>
      <c r="U217" s="5">
        <f t="shared" si="59"/>
        <v>0</v>
      </c>
      <c r="V217" s="5">
        <f t="shared" si="60"/>
        <v>-2.4813895781616857E-4</v>
      </c>
      <c r="W217" s="5">
        <f t="shared" si="61"/>
        <v>0</v>
      </c>
      <c r="X217" s="5">
        <f t="shared" si="62"/>
        <v>0</v>
      </c>
      <c r="Y217" s="5">
        <f t="shared" si="63"/>
        <v>0</v>
      </c>
    </row>
    <row r="218" spans="1:25" x14ac:dyDescent="0.3">
      <c r="A218" s="1">
        <v>216</v>
      </c>
      <c r="B218" t="s">
        <v>227</v>
      </c>
      <c r="C218" t="s">
        <v>12</v>
      </c>
      <c r="D218">
        <v>0.11</v>
      </c>
      <c r="E218">
        <v>2.2000000000000002</v>
      </c>
      <c r="F218">
        <v>86.3</v>
      </c>
      <c r="G218">
        <v>11.2</v>
      </c>
      <c r="H218">
        <v>85</v>
      </c>
      <c r="I218" s="4">
        <f t="shared" si="47"/>
        <v>0.11</v>
      </c>
      <c r="J218" s="4">
        <f t="shared" si="48"/>
        <v>2.2000000000000002</v>
      </c>
      <c r="K218" s="4">
        <f t="shared" si="49"/>
        <v>86.3</v>
      </c>
      <c r="L218" s="4">
        <f t="shared" si="50"/>
        <v>11.2</v>
      </c>
      <c r="M218" s="4">
        <f t="shared" si="51"/>
        <v>85</v>
      </c>
      <c r="N218" s="3">
        <f t="shared" si="52"/>
        <v>9.5</v>
      </c>
      <c r="O218" s="3">
        <f t="shared" si="53"/>
        <v>189.9</v>
      </c>
      <c r="P218" s="5">
        <f t="shared" si="54"/>
        <v>0.1100811123986095</v>
      </c>
      <c r="Q218" s="5">
        <f t="shared" si="55"/>
        <v>2.2004634994206258</v>
      </c>
      <c r="R218" s="5">
        <f t="shared" si="56"/>
        <v>86.3</v>
      </c>
      <c r="S218" s="5">
        <f t="shared" si="57"/>
        <v>11.2</v>
      </c>
      <c r="T218" s="5">
        <f t="shared" si="58"/>
        <v>85</v>
      </c>
      <c r="U218" s="5">
        <f t="shared" si="59"/>
        <v>8.1112398609500813E-5</v>
      </c>
      <c r="V218" s="5">
        <f t="shared" si="60"/>
        <v>4.6349942062562377E-4</v>
      </c>
      <c r="W218" s="5">
        <f t="shared" si="61"/>
        <v>0</v>
      </c>
      <c r="X218" s="5">
        <f t="shared" si="62"/>
        <v>0</v>
      </c>
      <c r="Y218" s="5">
        <f t="shared" si="63"/>
        <v>0</v>
      </c>
    </row>
    <row r="219" spans="1:25" x14ac:dyDescent="0.3">
      <c r="A219" s="1">
        <v>217</v>
      </c>
      <c r="B219" t="s">
        <v>228</v>
      </c>
      <c r="C219" t="s">
        <v>12</v>
      </c>
      <c r="D219">
        <v>0.13</v>
      </c>
      <c r="E219">
        <v>2.1</v>
      </c>
      <c r="F219">
        <v>38</v>
      </c>
      <c r="G219">
        <v>9.9</v>
      </c>
      <c r="H219">
        <v>70</v>
      </c>
      <c r="I219" s="4">
        <f t="shared" si="47"/>
        <v>0.13</v>
      </c>
      <c r="J219" s="4">
        <f t="shared" si="48"/>
        <v>2.1</v>
      </c>
      <c r="K219" s="4">
        <f t="shared" si="49"/>
        <v>38</v>
      </c>
      <c r="L219" s="4">
        <f t="shared" si="50"/>
        <v>9.9</v>
      </c>
      <c r="M219" s="4">
        <f t="shared" si="51"/>
        <v>70</v>
      </c>
      <c r="N219" s="3">
        <f t="shared" si="52"/>
        <v>4.9000000000000004</v>
      </c>
      <c r="O219" s="3">
        <f t="shared" si="53"/>
        <v>79.8</v>
      </c>
      <c r="P219" s="5">
        <f t="shared" si="54"/>
        <v>0.12894736842105264</v>
      </c>
      <c r="Q219" s="5">
        <f t="shared" si="55"/>
        <v>2.1</v>
      </c>
      <c r="R219" s="5">
        <f t="shared" si="56"/>
        <v>38</v>
      </c>
      <c r="S219" s="5">
        <f t="shared" si="57"/>
        <v>9.9</v>
      </c>
      <c r="T219" s="5">
        <f t="shared" si="58"/>
        <v>70</v>
      </c>
      <c r="U219" s="5">
        <f t="shared" si="59"/>
        <v>-1.0526315789473606E-3</v>
      </c>
      <c r="V219" s="5">
        <f t="shared" si="60"/>
        <v>0</v>
      </c>
      <c r="W219" s="5">
        <f t="shared" si="61"/>
        <v>0</v>
      </c>
      <c r="X219" s="5">
        <f t="shared" si="62"/>
        <v>0</v>
      </c>
      <c r="Y219" s="5">
        <f t="shared" si="63"/>
        <v>0</v>
      </c>
    </row>
    <row r="220" spans="1:25" x14ac:dyDescent="0.3">
      <c r="A220" s="1">
        <v>218</v>
      </c>
      <c r="B220" t="s">
        <v>229</v>
      </c>
      <c r="C220" t="s">
        <v>12</v>
      </c>
      <c r="D220">
        <v>0.42</v>
      </c>
      <c r="E220">
        <v>2.4</v>
      </c>
      <c r="F220">
        <v>43.5</v>
      </c>
      <c r="G220">
        <v>22.2</v>
      </c>
      <c r="H220">
        <v>5</v>
      </c>
      <c r="I220" s="4">
        <f t="shared" si="47"/>
        <v>0.42</v>
      </c>
      <c r="J220" s="4">
        <f t="shared" si="48"/>
        <v>2.4</v>
      </c>
      <c r="K220" s="4">
        <f t="shared" si="49"/>
        <v>43.5</v>
      </c>
      <c r="L220" s="4">
        <f t="shared" si="50"/>
        <v>22.2</v>
      </c>
      <c r="M220" s="4">
        <f t="shared" si="51"/>
        <v>5</v>
      </c>
      <c r="N220" s="3">
        <f t="shared" si="52"/>
        <v>18.3</v>
      </c>
      <c r="O220" s="3">
        <f t="shared" si="53"/>
        <v>104.4</v>
      </c>
      <c r="P220" s="5">
        <f t="shared" si="54"/>
        <v>0.4206896551724138</v>
      </c>
      <c r="Q220" s="5">
        <f t="shared" si="55"/>
        <v>2.4</v>
      </c>
      <c r="R220" s="5">
        <f t="shared" si="56"/>
        <v>43.5</v>
      </c>
      <c r="S220" s="5">
        <f t="shared" si="57"/>
        <v>22.2</v>
      </c>
      <c r="T220" s="5">
        <f t="shared" si="58"/>
        <v>5</v>
      </c>
      <c r="U220" s="5">
        <f t="shared" si="59"/>
        <v>6.8965517241381669E-4</v>
      </c>
      <c r="V220" s="5">
        <f t="shared" si="60"/>
        <v>0</v>
      </c>
      <c r="W220" s="5">
        <f t="shared" si="61"/>
        <v>0</v>
      </c>
      <c r="X220" s="5">
        <f t="shared" si="62"/>
        <v>0</v>
      </c>
      <c r="Y220" s="5">
        <f t="shared" si="63"/>
        <v>0</v>
      </c>
    </row>
    <row r="221" spans="1:25" x14ac:dyDescent="0.3">
      <c r="A221" s="1">
        <v>219</v>
      </c>
      <c r="B221" t="s">
        <v>230</v>
      </c>
      <c r="C221" t="s">
        <v>12</v>
      </c>
      <c r="D221">
        <v>0.31</v>
      </c>
      <c r="E221">
        <v>2.9</v>
      </c>
      <c r="F221">
        <v>49.8</v>
      </c>
      <c r="G221">
        <v>17</v>
      </c>
      <c r="H221">
        <v>55</v>
      </c>
      <c r="I221" s="4">
        <f t="shared" si="47"/>
        <v>0.31</v>
      </c>
      <c r="J221" s="4">
        <f t="shared" si="48"/>
        <v>2.9</v>
      </c>
      <c r="K221" s="4">
        <f t="shared" si="49"/>
        <v>49.8</v>
      </c>
      <c r="L221" s="4">
        <f t="shared" si="50"/>
        <v>17</v>
      </c>
      <c r="M221" s="4">
        <f t="shared" si="51"/>
        <v>55</v>
      </c>
      <c r="N221" s="3">
        <f t="shared" si="52"/>
        <v>15.4</v>
      </c>
      <c r="O221" s="3">
        <f t="shared" si="53"/>
        <v>144.4</v>
      </c>
      <c r="P221" s="5">
        <f t="shared" si="54"/>
        <v>0.30923694779116467</v>
      </c>
      <c r="Q221" s="5">
        <f t="shared" si="55"/>
        <v>2.8995983935742973</v>
      </c>
      <c r="R221" s="5">
        <f t="shared" si="56"/>
        <v>49.8</v>
      </c>
      <c r="S221" s="5">
        <f t="shared" si="57"/>
        <v>17</v>
      </c>
      <c r="T221" s="5">
        <f t="shared" si="58"/>
        <v>55</v>
      </c>
      <c r="U221" s="5">
        <f t="shared" si="59"/>
        <v>-7.6305220883532421E-4</v>
      </c>
      <c r="V221" s="5">
        <f t="shared" si="60"/>
        <v>-4.016064257026386E-4</v>
      </c>
      <c r="W221" s="5">
        <f t="shared" si="61"/>
        <v>0</v>
      </c>
      <c r="X221" s="5">
        <f t="shared" si="62"/>
        <v>0</v>
      </c>
      <c r="Y221" s="5">
        <f t="shared" si="63"/>
        <v>0</v>
      </c>
    </row>
    <row r="222" spans="1:25" x14ac:dyDescent="0.3">
      <c r="A222" s="1">
        <v>220</v>
      </c>
      <c r="B222" t="s">
        <v>231</v>
      </c>
      <c r="C222" t="s">
        <v>12</v>
      </c>
      <c r="D222">
        <v>0.3</v>
      </c>
      <c r="E222">
        <v>2.6</v>
      </c>
      <c r="F222">
        <v>30</v>
      </c>
      <c r="G222">
        <v>6.9</v>
      </c>
      <c r="H222">
        <v>60</v>
      </c>
      <c r="I222" s="4">
        <f t="shared" si="47"/>
        <v>0.3</v>
      </c>
      <c r="J222" s="4">
        <f t="shared" si="48"/>
        <v>2.6</v>
      </c>
      <c r="K222" s="4">
        <f t="shared" si="49"/>
        <v>30</v>
      </c>
      <c r="L222" s="4">
        <f t="shared" si="50"/>
        <v>6.9</v>
      </c>
      <c r="M222" s="4">
        <f t="shared" si="51"/>
        <v>60</v>
      </c>
      <c r="N222" s="3">
        <f t="shared" si="52"/>
        <v>9</v>
      </c>
      <c r="O222" s="3">
        <f t="shared" si="53"/>
        <v>78</v>
      </c>
      <c r="P222" s="5">
        <f t="shared" si="54"/>
        <v>0.3</v>
      </c>
      <c r="Q222" s="5">
        <f t="shared" si="55"/>
        <v>2.6</v>
      </c>
      <c r="R222" s="5">
        <f t="shared" si="56"/>
        <v>30</v>
      </c>
      <c r="S222" s="5">
        <f t="shared" si="57"/>
        <v>6.9</v>
      </c>
      <c r="T222" s="5">
        <f t="shared" si="58"/>
        <v>60</v>
      </c>
      <c r="U222" s="5">
        <f t="shared" si="59"/>
        <v>0</v>
      </c>
      <c r="V222" s="5">
        <f t="shared" si="60"/>
        <v>0</v>
      </c>
      <c r="W222" s="5">
        <f t="shared" si="61"/>
        <v>0</v>
      </c>
      <c r="X222" s="5">
        <f t="shared" si="62"/>
        <v>0</v>
      </c>
      <c r="Y222" s="5">
        <f t="shared" si="63"/>
        <v>0</v>
      </c>
    </row>
    <row r="223" spans="1:25" x14ac:dyDescent="0.3">
      <c r="A223" s="1">
        <v>221</v>
      </c>
      <c r="B223" t="s">
        <v>232</v>
      </c>
      <c r="C223" t="s">
        <v>12</v>
      </c>
      <c r="D223">
        <v>0.39</v>
      </c>
      <c r="E223">
        <v>1.1000000000000001</v>
      </c>
      <c r="F223">
        <v>15.7</v>
      </c>
      <c r="G223">
        <v>10.1</v>
      </c>
      <c r="H223">
        <v>45</v>
      </c>
      <c r="I223" s="4">
        <f t="shared" si="47"/>
        <v>0.39</v>
      </c>
      <c r="J223" s="4">
        <f t="shared" si="48"/>
        <v>1.1000000000000001</v>
      </c>
      <c r="K223" s="4">
        <f t="shared" si="49"/>
        <v>15.7</v>
      </c>
      <c r="L223" s="4">
        <f t="shared" si="50"/>
        <v>10.1</v>
      </c>
      <c r="M223" s="4">
        <f t="shared" si="51"/>
        <v>45</v>
      </c>
      <c r="N223" s="3">
        <f t="shared" si="52"/>
        <v>6.1</v>
      </c>
      <c r="O223" s="3">
        <f t="shared" si="53"/>
        <v>17.3</v>
      </c>
      <c r="P223" s="5">
        <f t="shared" si="54"/>
        <v>0.38853503184713373</v>
      </c>
      <c r="Q223" s="5">
        <f t="shared" si="55"/>
        <v>1.1019108280254779</v>
      </c>
      <c r="R223" s="5">
        <f t="shared" si="56"/>
        <v>15.7</v>
      </c>
      <c r="S223" s="5">
        <f t="shared" si="57"/>
        <v>10.1</v>
      </c>
      <c r="T223" s="5">
        <f t="shared" si="58"/>
        <v>45</v>
      </c>
      <c r="U223" s="5">
        <f t="shared" si="59"/>
        <v>-1.4649681528662861E-3</v>
      </c>
      <c r="V223" s="5">
        <f t="shared" si="60"/>
        <v>1.9108280254778176E-3</v>
      </c>
      <c r="W223" s="5">
        <f t="shared" si="61"/>
        <v>0</v>
      </c>
      <c r="X223" s="5">
        <f t="shared" si="62"/>
        <v>0</v>
      </c>
      <c r="Y223" s="5">
        <f t="shared" si="63"/>
        <v>0</v>
      </c>
    </row>
  </sheetData>
  <mergeCells count="5">
    <mergeCell ref="D1:H1"/>
    <mergeCell ref="A1:C1"/>
    <mergeCell ref="I1:O1"/>
    <mergeCell ref="P1:T1"/>
    <mergeCell ref="U1:Y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Misael Maldonado</dc:creator>
  <cp:lastModifiedBy>Misael Maldonado</cp:lastModifiedBy>
  <dcterms:created xsi:type="dcterms:W3CDTF">2026-08-26T05:51:46Z</dcterms:created>
  <dcterms:modified xsi:type="dcterms:W3CDTF">2026-08-30T18:52:09Z</dcterms:modified>
</cp:coreProperties>
</file>